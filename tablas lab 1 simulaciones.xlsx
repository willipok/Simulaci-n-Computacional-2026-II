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ulación 200 clientes" sheetId="1" r:id="rId5"/>
    <sheet state="visible" name="10 runs(200 clientes )" sheetId="2" r:id="rId6"/>
    <sheet state="visible" name="simulación 20 clientes" sheetId="3" r:id="rId7"/>
    <sheet state="visible" name="10 runs (20 clientes )" sheetId="4" r:id="rId8"/>
  </sheets>
  <definedNames/>
  <calcPr/>
</workbook>
</file>

<file path=xl/sharedStrings.xml><?xml version="1.0" encoding="utf-8"?>
<sst xmlns="http://schemas.openxmlformats.org/spreadsheetml/2006/main" count="44" uniqueCount="17">
  <si>
    <t>Customer</t>
  </si>
  <si>
    <t>Run</t>
  </si>
  <si>
    <t>Average time in system:</t>
  </si>
  <si>
    <t>Percent idle time:</t>
  </si>
  <si>
    <t>Average waiting time per customer:</t>
  </si>
  <si>
    <t>Fraction having to wait:</t>
  </si>
  <si>
    <t>Average waiting time of those who waited:</t>
  </si>
  <si>
    <t>Time Between Arrivals</t>
  </si>
  <si>
    <t>Arrival Time</t>
  </si>
  <si>
    <t>Service Time</t>
  </si>
  <si>
    <t>Service Begins</t>
  </si>
  <si>
    <t>Time Service Ends</t>
  </si>
  <si>
    <t>Time in System</t>
  </si>
  <si>
    <t>Idle Time</t>
  </si>
  <si>
    <t>Time in Queue</t>
  </si>
  <si>
    <t>-</t>
  </si>
  <si>
    <t>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</si>
</sst>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"/>
  </numFmts>
  <fonts count="8">
    <font>
      <sz val="12.0"/>
      <color theme="1"/>
      <name val="Calibri"/>
      <scheme val="minor"/>
    </font>
    <font>
      <b/>
      <color theme="1"/>
      <name val="Calibri"/>
    </font>
    <font>
      <sz val="12.0"/>
      <color theme="1"/>
      <name val="Calibri"/>
    </font>
    <font>
      <color theme="1"/>
      <name val="Calibri"/>
    </font>
    <font>
      <sz val="12.0"/>
      <color rgb="FF000000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b/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0" fontId="3" numFmtId="0" xfId="0" applyBorder="1" applyFont="1"/>
    <xf borderId="1" fillId="3" fontId="2" numFmtId="0" xfId="0" applyAlignment="1" applyBorder="1" applyFill="1" applyFont="1">
      <alignment horizontal="center" shrinkToFit="0" vertical="center" wrapText="1"/>
    </xf>
    <xf borderId="1" fillId="0" fontId="3" numFmtId="0" xfId="0" applyBorder="1" applyFont="1"/>
    <xf borderId="1" fillId="0" fontId="3" numFmtId="9" xfId="0" applyBorder="1" applyFont="1" applyNumberFormat="1"/>
    <xf borderId="1" fillId="3" fontId="2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0" fillId="0" fontId="3" numFmtId="9" xfId="0" applyFont="1" applyNumberFormat="1"/>
    <xf borderId="1" fillId="0" fontId="3" numFmtId="164" xfId="0" applyBorder="1" applyFont="1" applyNumberFormat="1"/>
    <xf borderId="0" fillId="0" fontId="3" numFmtId="164" xfId="0" applyFont="1" applyNumberFormat="1"/>
    <xf borderId="0" fillId="0" fontId="4" numFmtId="0" xfId="0" applyAlignment="1" applyFont="1">
      <alignment horizontal="right" shrinkToFit="0" vertical="bottom" wrapText="0"/>
    </xf>
    <xf borderId="2" fillId="0" fontId="3" numFmtId="0" xfId="0" applyBorder="1" applyFont="1"/>
    <xf borderId="1" fillId="0" fontId="4" numFmtId="0" xfId="0" applyAlignment="1" applyBorder="1" applyFont="1">
      <alignment horizontal="right" shrinkToFit="0" vertical="bottom" wrapText="0"/>
    </xf>
    <xf borderId="1" fillId="0" fontId="4" numFmtId="0" xfId="0" applyAlignment="1" applyBorder="1" applyFont="1">
      <alignment horizontal="right" shrinkToFit="0" vertical="bottom" wrapText="0"/>
    </xf>
    <xf borderId="1" fillId="0" fontId="4" numFmtId="9" xfId="0" applyAlignment="1" applyBorder="1" applyFont="1" applyNumberFormat="1">
      <alignment horizontal="right" shrinkToFit="0" vertical="bottom" wrapText="0"/>
    </xf>
    <xf borderId="1" fillId="2" fontId="2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right" readingOrder="0"/>
    </xf>
    <xf borderId="1" fillId="0" fontId="4" numFmtId="164" xfId="0" applyAlignment="1" applyBorder="1" applyFont="1" applyNumberFormat="1">
      <alignment horizontal="right" shrinkToFit="0" vertical="bottom" wrapText="0"/>
    </xf>
    <xf borderId="2" fillId="0" fontId="4" numFmtId="0" xfId="0" applyAlignment="1" applyBorder="1" applyFont="1">
      <alignment horizontal="right" shrinkToFit="0" vertical="bottom" wrapText="0"/>
    </xf>
    <xf borderId="1" fillId="0" fontId="3" numFmtId="0" xfId="0" applyAlignment="1" applyBorder="1" applyFont="1">
      <alignment readingOrder="0"/>
    </xf>
    <xf borderId="1" fillId="0" fontId="3" numFmtId="4" xfId="0" applyBorder="1" applyFont="1" applyNumberFormat="1"/>
    <xf borderId="0" fillId="0" fontId="2" numFmtId="9" xfId="0" applyFont="1" applyNumberFormat="1"/>
    <xf borderId="0" fillId="0" fontId="6" numFmtId="0" xfId="0" applyAlignment="1" applyFont="1">
      <alignment horizontal="right" readingOrder="0"/>
    </xf>
    <xf borderId="0" fillId="0" fontId="6" numFmtId="0" xfId="0" applyFont="1"/>
    <xf borderId="0" fillId="0" fontId="6" numFmtId="9" xfId="0" applyFont="1" applyNumberFormat="1"/>
    <xf borderId="0" fillId="0" fontId="6" numFmtId="164" xfId="0" applyFont="1" applyNumberFormat="1"/>
    <xf borderId="0" fillId="0" fontId="6" numFmtId="4" xfId="0" applyFont="1" applyNumberFormat="1"/>
    <xf borderId="1" fillId="0" fontId="7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44"/>
    <col customWidth="1" min="2" max="6" width="10.56"/>
    <col customWidth="1" min="7" max="7" width="12.22"/>
    <col customWidth="1" min="8" max="8" width="10.56"/>
    <col customWidth="1" min="9" max="9" width="13.89"/>
    <col customWidth="1" min="10" max="10" width="2.78"/>
    <col customWidth="1" min="11" max="11" width="32.11"/>
    <col customWidth="1" min="12" max="12" width="8.0"/>
  </cols>
  <sheetData>
    <row r="1" ht="28.5" customHeight="1">
      <c r="A1" s="2" t="s">
        <v>0</v>
      </c>
      <c r="B1" s="4" t="s">
        <v>7</v>
      </c>
      <c r="C1" s="2" t="s">
        <v>8</v>
      </c>
      <c r="D1" s="6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</row>
    <row r="2" ht="15.75" customHeight="1">
      <c r="A2" s="2">
        <v>1.0</v>
      </c>
      <c r="B2" s="4" t="s">
        <v>15</v>
      </c>
      <c r="C2" s="2">
        <v>0.0</v>
      </c>
      <c r="D2" s="9">
        <v>6.0</v>
      </c>
      <c r="E2" s="2">
        <f>C2</f>
        <v>0</v>
      </c>
      <c r="F2" s="2">
        <f t="shared" ref="F2:F201" si="1">E2+D2</f>
        <v>6</v>
      </c>
      <c r="G2" s="2">
        <f t="shared" ref="G2:G201" si="2">F2-C2</f>
        <v>6</v>
      </c>
      <c r="H2" s="2">
        <v>0.0</v>
      </c>
      <c r="I2" s="2">
        <v>0.0</v>
      </c>
      <c r="Q2" s="20"/>
      <c r="R2" s="20"/>
      <c r="S2" s="20"/>
      <c r="U2" s="20"/>
      <c r="V2" s="20"/>
      <c r="W2" s="20"/>
      <c r="Y2" s="20"/>
      <c r="Z2" s="20"/>
      <c r="AA2" s="20"/>
    </row>
    <row r="3" ht="15.75" customHeight="1">
      <c r="A3" s="2">
        <v>2.0</v>
      </c>
      <c r="B3" s="19">
        <v>4.0</v>
      </c>
      <c r="C3" s="2">
        <f t="shared" ref="C3:C201" si="3">C2+B3</f>
        <v>4</v>
      </c>
      <c r="D3" s="9">
        <v>2.0</v>
      </c>
      <c r="E3" s="2">
        <f t="shared" ref="E3:E201" si="4">MAX(F2,C3)</f>
        <v>6</v>
      </c>
      <c r="F3" s="2">
        <f t="shared" si="1"/>
        <v>8</v>
      </c>
      <c r="G3" s="2">
        <f t="shared" si="2"/>
        <v>4</v>
      </c>
      <c r="H3" s="2">
        <f t="shared" ref="H3:H201" si="5">MAX(C3-F2,0)</f>
        <v>0</v>
      </c>
      <c r="I3" s="2">
        <f t="shared" ref="I3:I201" si="6">MAX(F2-C3,0)</f>
        <v>2</v>
      </c>
      <c r="K3" s="10" t="s">
        <v>2</v>
      </c>
      <c r="L3" s="10">
        <f>G202/A201</f>
        <v>4.52</v>
      </c>
      <c r="Q3" s="26"/>
      <c r="R3" s="26"/>
      <c r="S3" s="26"/>
      <c r="U3" s="26"/>
      <c r="V3" s="26"/>
      <c r="W3" s="26"/>
      <c r="Y3" s="26"/>
      <c r="Z3" s="26"/>
      <c r="AA3" s="26"/>
    </row>
    <row r="4" ht="15.75" customHeight="1">
      <c r="A4" s="2">
        <v>3.0</v>
      </c>
      <c r="B4" s="19">
        <v>9.0</v>
      </c>
      <c r="C4" s="2">
        <f t="shared" si="3"/>
        <v>13</v>
      </c>
      <c r="D4" s="9">
        <v>5.0</v>
      </c>
      <c r="E4" s="2">
        <f t="shared" si="4"/>
        <v>13</v>
      </c>
      <c r="F4" s="2">
        <f t="shared" si="1"/>
        <v>18</v>
      </c>
      <c r="G4" s="2">
        <f t="shared" si="2"/>
        <v>5</v>
      </c>
      <c r="H4" s="2">
        <f t="shared" si="5"/>
        <v>5</v>
      </c>
      <c r="I4" s="2">
        <f t="shared" si="6"/>
        <v>0</v>
      </c>
      <c r="K4" s="10" t="s">
        <v>3</v>
      </c>
      <c r="L4" s="25">
        <f>H202/F201</f>
        <v>0.3488160291</v>
      </c>
      <c r="Q4" s="26"/>
      <c r="R4" s="26"/>
      <c r="S4" s="26"/>
      <c r="U4" s="26"/>
      <c r="V4" s="26"/>
      <c r="W4" s="26"/>
      <c r="Y4" s="26"/>
      <c r="Z4" s="26"/>
      <c r="AA4" s="26"/>
    </row>
    <row r="5" ht="15.75" customHeight="1">
      <c r="A5" s="2">
        <v>4.0</v>
      </c>
      <c r="B5" s="19">
        <v>2.0</v>
      </c>
      <c r="C5" s="2">
        <f t="shared" si="3"/>
        <v>15</v>
      </c>
      <c r="D5" s="9">
        <v>1.0</v>
      </c>
      <c r="E5" s="2">
        <f t="shared" si="4"/>
        <v>18</v>
      </c>
      <c r="F5" s="2">
        <f t="shared" si="1"/>
        <v>19</v>
      </c>
      <c r="G5" s="2">
        <f t="shared" si="2"/>
        <v>4</v>
      </c>
      <c r="H5" s="2">
        <f t="shared" si="5"/>
        <v>0</v>
      </c>
      <c r="I5" s="2">
        <f t="shared" si="6"/>
        <v>3</v>
      </c>
      <c r="K5" s="10" t="s">
        <v>4</v>
      </c>
      <c r="L5" s="10">
        <f>I202/A201</f>
        <v>0.945</v>
      </c>
      <c r="Q5" s="26"/>
      <c r="R5" s="26"/>
      <c r="S5" s="26"/>
      <c r="U5" s="26"/>
      <c r="V5" s="26"/>
      <c r="W5" s="26"/>
      <c r="Y5" s="26"/>
      <c r="Z5" s="26"/>
      <c r="AA5" s="26"/>
    </row>
    <row r="6" ht="15.75" customHeight="1">
      <c r="A6" s="2">
        <v>5.0</v>
      </c>
      <c r="B6" s="19">
        <v>7.0</v>
      </c>
      <c r="C6" s="2">
        <f t="shared" si="3"/>
        <v>22</v>
      </c>
      <c r="D6" s="9">
        <v>4.0</v>
      </c>
      <c r="E6" s="2">
        <f t="shared" si="4"/>
        <v>22</v>
      </c>
      <c r="F6" s="2">
        <f t="shared" si="1"/>
        <v>26</v>
      </c>
      <c r="G6" s="2">
        <f t="shared" si="2"/>
        <v>4</v>
      </c>
      <c r="H6" s="2">
        <f t="shared" si="5"/>
        <v>3</v>
      </c>
      <c r="I6" s="2">
        <f t="shared" si="6"/>
        <v>0</v>
      </c>
      <c r="K6" s="10" t="s">
        <v>5</v>
      </c>
      <c r="L6" s="10">
        <f>COUNTIF(I2:I201,"&gt;0")/A201</f>
        <v>0.4</v>
      </c>
      <c r="Q6" s="26"/>
      <c r="R6" s="26"/>
      <c r="S6" s="26"/>
      <c r="U6" s="26"/>
      <c r="V6" s="26"/>
      <c r="W6" s="26"/>
      <c r="Y6" s="26"/>
      <c r="Z6" s="26"/>
      <c r="AA6" s="26"/>
    </row>
    <row r="7" ht="15.75" customHeight="1">
      <c r="A7" s="2">
        <v>6.0</v>
      </c>
      <c r="B7" s="19">
        <v>10.0</v>
      </c>
      <c r="C7" s="2">
        <f t="shared" si="3"/>
        <v>32</v>
      </c>
      <c r="D7" s="9">
        <v>3.0</v>
      </c>
      <c r="E7" s="2">
        <f t="shared" si="4"/>
        <v>32</v>
      </c>
      <c r="F7" s="2">
        <f t="shared" si="1"/>
        <v>35</v>
      </c>
      <c r="G7" s="2">
        <f t="shared" si="2"/>
        <v>3</v>
      </c>
      <c r="H7" s="2">
        <f t="shared" si="5"/>
        <v>6</v>
      </c>
      <c r="I7" s="2">
        <f t="shared" si="6"/>
        <v>0</v>
      </c>
      <c r="K7" s="10" t="s">
        <v>6</v>
      </c>
      <c r="L7" s="10">
        <f>I202/COUNTIF(I2:I201,"&gt;0")</f>
        <v>2.3625</v>
      </c>
      <c r="Q7" s="26"/>
      <c r="R7" s="26"/>
      <c r="S7" s="26"/>
      <c r="U7" s="26"/>
      <c r="V7" s="26"/>
      <c r="W7" s="26"/>
      <c r="Y7" s="26"/>
      <c r="Z7" s="26"/>
      <c r="AA7" s="26"/>
    </row>
    <row r="8" ht="15.75" customHeight="1">
      <c r="A8" s="2">
        <v>7.0</v>
      </c>
      <c r="B8" s="19">
        <v>1.0</v>
      </c>
      <c r="C8" s="2">
        <f t="shared" si="3"/>
        <v>33</v>
      </c>
      <c r="D8" s="9">
        <v>6.0</v>
      </c>
      <c r="E8" s="2">
        <f t="shared" si="4"/>
        <v>35</v>
      </c>
      <c r="F8" s="2">
        <f t="shared" si="1"/>
        <v>41</v>
      </c>
      <c r="G8" s="2">
        <f t="shared" si="2"/>
        <v>8</v>
      </c>
      <c r="H8" s="2">
        <f t="shared" si="5"/>
        <v>0</v>
      </c>
      <c r="I8" s="2">
        <f t="shared" si="6"/>
        <v>2</v>
      </c>
      <c r="Q8" s="26"/>
      <c r="R8" s="26"/>
      <c r="S8" s="26"/>
      <c r="U8" s="26"/>
      <c r="V8" s="26"/>
      <c r="W8" s="26"/>
      <c r="Y8" s="26"/>
      <c r="Z8" s="26"/>
      <c r="AA8" s="26"/>
    </row>
    <row r="9" ht="15.75" customHeight="1">
      <c r="A9" s="2">
        <v>8.0</v>
      </c>
      <c r="B9" s="19">
        <v>6.0</v>
      </c>
      <c r="C9" s="2">
        <f t="shared" si="3"/>
        <v>39</v>
      </c>
      <c r="D9" s="9">
        <v>2.0</v>
      </c>
      <c r="E9" s="2">
        <f t="shared" si="4"/>
        <v>41</v>
      </c>
      <c r="F9" s="2">
        <f t="shared" si="1"/>
        <v>43</v>
      </c>
      <c r="G9" s="2">
        <f t="shared" si="2"/>
        <v>4</v>
      </c>
      <c r="H9" s="2">
        <f t="shared" si="5"/>
        <v>0</v>
      </c>
      <c r="I9" s="2">
        <f t="shared" si="6"/>
        <v>2</v>
      </c>
      <c r="Q9" s="26"/>
      <c r="R9" s="26"/>
      <c r="S9" s="26"/>
      <c r="U9" s="26"/>
      <c r="V9" s="26"/>
      <c r="W9" s="26"/>
      <c r="Y9" s="26"/>
      <c r="Z9" s="26"/>
      <c r="AA9" s="26"/>
    </row>
    <row r="10" ht="15.75" customHeight="1">
      <c r="A10" s="2">
        <v>9.0</v>
      </c>
      <c r="B10" s="19">
        <v>3.0</v>
      </c>
      <c r="C10" s="2">
        <f t="shared" si="3"/>
        <v>42</v>
      </c>
      <c r="D10" s="9">
        <v>5.0</v>
      </c>
      <c r="E10" s="2">
        <f t="shared" si="4"/>
        <v>43</v>
      </c>
      <c r="F10" s="2">
        <f t="shared" si="1"/>
        <v>48</v>
      </c>
      <c r="G10" s="2">
        <f t="shared" si="2"/>
        <v>6</v>
      </c>
      <c r="H10" s="2">
        <f t="shared" si="5"/>
        <v>0</v>
      </c>
      <c r="I10" s="2">
        <f t="shared" si="6"/>
        <v>1</v>
      </c>
      <c r="Q10" s="26"/>
      <c r="R10" s="26"/>
      <c r="S10" s="26"/>
      <c r="U10" s="26"/>
      <c r="V10" s="26"/>
      <c r="W10" s="26"/>
      <c r="Y10" s="26"/>
      <c r="Z10" s="26"/>
      <c r="AA10" s="26"/>
    </row>
    <row r="11" ht="15.75" customHeight="1">
      <c r="A11" s="2">
        <v>10.0</v>
      </c>
      <c r="B11" s="19">
        <v>8.0</v>
      </c>
      <c r="C11" s="2">
        <f t="shared" si="3"/>
        <v>50</v>
      </c>
      <c r="D11" s="9">
        <v>1.0</v>
      </c>
      <c r="E11" s="2">
        <f t="shared" si="4"/>
        <v>50</v>
      </c>
      <c r="F11" s="2">
        <f t="shared" si="1"/>
        <v>51</v>
      </c>
      <c r="G11" s="2">
        <f t="shared" si="2"/>
        <v>1</v>
      </c>
      <c r="H11" s="2">
        <f t="shared" si="5"/>
        <v>2</v>
      </c>
      <c r="I11" s="2">
        <f t="shared" si="6"/>
        <v>0</v>
      </c>
      <c r="Q11" s="26"/>
      <c r="R11" s="26"/>
      <c r="S11" s="26"/>
      <c r="U11" s="26"/>
      <c r="V11" s="26"/>
      <c r="W11" s="26"/>
      <c r="Y11" s="26"/>
      <c r="Z11" s="26"/>
      <c r="AA11" s="26"/>
    </row>
    <row r="12" ht="15.75" customHeight="1">
      <c r="A12" s="2">
        <v>11.0</v>
      </c>
      <c r="B12" s="19">
        <v>5.0</v>
      </c>
      <c r="C12" s="2">
        <f t="shared" si="3"/>
        <v>55</v>
      </c>
      <c r="D12" s="9">
        <v>4.0</v>
      </c>
      <c r="E12" s="2">
        <f t="shared" si="4"/>
        <v>55</v>
      </c>
      <c r="F12" s="2">
        <f t="shared" si="1"/>
        <v>59</v>
      </c>
      <c r="G12" s="2">
        <f t="shared" si="2"/>
        <v>4</v>
      </c>
      <c r="H12" s="2">
        <f t="shared" si="5"/>
        <v>4</v>
      </c>
      <c r="I12" s="2">
        <f t="shared" si="6"/>
        <v>0</v>
      </c>
      <c r="Q12" s="26"/>
      <c r="R12" s="26"/>
      <c r="S12" s="26"/>
      <c r="U12" s="26"/>
      <c r="V12" s="26"/>
      <c r="W12" s="26"/>
      <c r="Y12" s="26"/>
      <c r="Z12" s="26"/>
      <c r="AA12" s="26"/>
    </row>
    <row r="13" ht="15.75" customHeight="1">
      <c r="A13" s="2">
        <v>12.0</v>
      </c>
      <c r="B13" s="19">
        <v>9.0</v>
      </c>
      <c r="C13" s="2">
        <f t="shared" si="3"/>
        <v>64</v>
      </c>
      <c r="D13" s="9">
        <v>6.0</v>
      </c>
      <c r="E13" s="2">
        <f t="shared" si="4"/>
        <v>64</v>
      </c>
      <c r="F13" s="2">
        <f t="shared" si="1"/>
        <v>70</v>
      </c>
      <c r="G13" s="2">
        <f t="shared" si="2"/>
        <v>6</v>
      </c>
      <c r="H13" s="2">
        <f t="shared" si="5"/>
        <v>5</v>
      </c>
      <c r="I13" s="2">
        <f t="shared" si="6"/>
        <v>0</v>
      </c>
      <c r="Q13" s="26"/>
      <c r="R13" s="26"/>
      <c r="S13" s="26"/>
      <c r="U13" s="26"/>
      <c r="V13" s="26"/>
      <c r="W13" s="26"/>
      <c r="Y13" s="26"/>
      <c r="Z13" s="26"/>
      <c r="AA13" s="26"/>
    </row>
    <row r="14" ht="15.75" customHeight="1">
      <c r="A14" s="2">
        <v>13.0</v>
      </c>
      <c r="B14" s="19">
        <v>2.0</v>
      </c>
      <c r="C14" s="2">
        <f t="shared" si="3"/>
        <v>66</v>
      </c>
      <c r="D14" s="9">
        <v>3.0</v>
      </c>
      <c r="E14" s="2">
        <f t="shared" si="4"/>
        <v>70</v>
      </c>
      <c r="F14" s="2">
        <f t="shared" si="1"/>
        <v>73</v>
      </c>
      <c r="G14" s="2">
        <f t="shared" si="2"/>
        <v>7</v>
      </c>
      <c r="H14" s="2">
        <f t="shared" si="5"/>
        <v>0</v>
      </c>
      <c r="I14" s="2">
        <f t="shared" si="6"/>
        <v>4</v>
      </c>
      <c r="Q14" s="26"/>
      <c r="R14" s="26"/>
      <c r="S14" s="26"/>
      <c r="U14" s="26"/>
      <c r="V14" s="26"/>
      <c r="W14" s="26"/>
      <c r="Y14" s="26"/>
      <c r="Z14" s="26"/>
      <c r="AA14" s="26"/>
    </row>
    <row r="15" ht="15.75" customHeight="1">
      <c r="A15" s="2">
        <v>14.0</v>
      </c>
      <c r="B15" s="19">
        <v>7.0</v>
      </c>
      <c r="C15" s="2">
        <f t="shared" si="3"/>
        <v>73</v>
      </c>
      <c r="D15" s="9">
        <v>5.0</v>
      </c>
      <c r="E15" s="2">
        <f t="shared" si="4"/>
        <v>73</v>
      </c>
      <c r="F15" s="2">
        <f t="shared" si="1"/>
        <v>78</v>
      </c>
      <c r="G15" s="2">
        <f t="shared" si="2"/>
        <v>5</v>
      </c>
      <c r="H15" s="2">
        <f t="shared" si="5"/>
        <v>0</v>
      </c>
      <c r="I15" s="2">
        <f t="shared" si="6"/>
        <v>0</v>
      </c>
      <c r="Q15" s="26"/>
      <c r="R15" s="26"/>
      <c r="S15" s="26"/>
      <c r="U15" s="26"/>
      <c r="V15" s="26"/>
      <c r="W15" s="26"/>
      <c r="Y15" s="26"/>
      <c r="Z15" s="26"/>
      <c r="AA15" s="26"/>
    </row>
    <row r="16" ht="15.75" customHeight="1">
      <c r="A16" s="2">
        <v>15.0</v>
      </c>
      <c r="B16" s="19">
        <v>1.0</v>
      </c>
      <c r="C16" s="2">
        <f t="shared" si="3"/>
        <v>74</v>
      </c>
      <c r="D16" s="9">
        <v>2.0</v>
      </c>
      <c r="E16" s="2">
        <f t="shared" si="4"/>
        <v>78</v>
      </c>
      <c r="F16" s="2">
        <f t="shared" si="1"/>
        <v>80</v>
      </c>
      <c r="G16" s="2">
        <f t="shared" si="2"/>
        <v>6</v>
      </c>
      <c r="H16" s="2">
        <f t="shared" si="5"/>
        <v>0</v>
      </c>
      <c r="I16" s="2">
        <f t="shared" si="6"/>
        <v>4</v>
      </c>
      <c r="Q16" s="26"/>
      <c r="R16" s="26"/>
      <c r="S16" s="26"/>
      <c r="U16" s="26"/>
      <c r="V16" s="26"/>
      <c r="W16" s="26"/>
      <c r="Y16" s="26"/>
      <c r="Z16" s="26"/>
      <c r="AA16" s="26"/>
    </row>
    <row r="17" ht="15.75" customHeight="1">
      <c r="A17" s="2">
        <v>16.0</v>
      </c>
      <c r="B17" s="19">
        <v>10.0</v>
      </c>
      <c r="C17" s="2">
        <f t="shared" si="3"/>
        <v>84</v>
      </c>
      <c r="D17" s="9">
        <v>1.0</v>
      </c>
      <c r="E17" s="2">
        <f t="shared" si="4"/>
        <v>84</v>
      </c>
      <c r="F17" s="2">
        <f t="shared" si="1"/>
        <v>85</v>
      </c>
      <c r="G17" s="2">
        <f t="shared" si="2"/>
        <v>1</v>
      </c>
      <c r="H17" s="2">
        <f t="shared" si="5"/>
        <v>4</v>
      </c>
      <c r="I17" s="2">
        <f t="shared" si="6"/>
        <v>0</v>
      </c>
      <c r="Q17" s="26"/>
      <c r="R17" s="26"/>
      <c r="S17" s="26"/>
      <c r="U17" s="26"/>
      <c r="V17" s="26"/>
      <c r="W17" s="26"/>
      <c r="Y17" s="26"/>
      <c r="Z17" s="26"/>
      <c r="AA17" s="26"/>
    </row>
    <row r="18" ht="15.75" customHeight="1">
      <c r="A18" s="2">
        <v>17.0</v>
      </c>
      <c r="B18" s="19">
        <v>4.0</v>
      </c>
      <c r="C18" s="2">
        <f t="shared" si="3"/>
        <v>88</v>
      </c>
      <c r="D18" s="9">
        <v>5.0</v>
      </c>
      <c r="E18" s="2">
        <f t="shared" si="4"/>
        <v>88</v>
      </c>
      <c r="F18" s="2">
        <f t="shared" si="1"/>
        <v>93</v>
      </c>
      <c r="G18" s="2">
        <f t="shared" si="2"/>
        <v>5</v>
      </c>
      <c r="H18" s="2">
        <f t="shared" si="5"/>
        <v>3</v>
      </c>
      <c r="I18" s="2">
        <f t="shared" si="6"/>
        <v>0</v>
      </c>
      <c r="Q18" s="26"/>
      <c r="R18" s="26"/>
      <c r="S18" s="26"/>
      <c r="U18" s="26"/>
      <c r="V18" s="26"/>
      <c r="W18" s="26"/>
      <c r="Y18" s="26"/>
      <c r="Z18" s="26"/>
      <c r="AA18" s="26"/>
    </row>
    <row r="19" ht="15.75" customHeight="1">
      <c r="A19" s="2">
        <v>18.0</v>
      </c>
      <c r="B19" s="19">
        <v>6.0</v>
      </c>
      <c r="C19" s="2">
        <f t="shared" si="3"/>
        <v>94</v>
      </c>
      <c r="D19" s="9">
        <v>3.0</v>
      </c>
      <c r="E19" s="2">
        <f t="shared" si="4"/>
        <v>94</v>
      </c>
      <c r="F19" s="2">
        <f t="shared" si="1"/>
        <v>97</v>
      </c>
      <c r="G19" s="2">
        <f t="shared" si="2"/>
        <v>3</v>
      </c>
      <c r="H19" s="2">
        <f t="shared" si="5"/>
        <v>1</v>
      </c>
      <c r="I19" s="2">
        <f t="shared" si="6"/>
        <v>0</v>
      </c>
      <c r="Q19" s="26"/>
      <c r="R19" s="26"/>
      <c r="S19" s="26"/>
      <c r="U19" s="26"/>
      <c r="V19" s="26"/>
      <c r="W19" s="26"/>
      <c r="Y19" s="26"/>
      <c r="Z19" s="26"/>
      <c r="AA19" s="26"/>
    </row>
    <row r="20" ht="14.25" customHeight="1">
      <c r="A20" s="2">
        <v>19.0</v>
      </c>
      <c r="B20" s="19">
        <v>8.0</v>
      </c>
      <c r="C20" s="2">
        <f t="shared" si="3"/>
        <v>102</v>
      </c>
      <c r="D20" s="9">
        <v>6.0</v>
      </c>
      <c r="E20" s="2">
        <f t="shared" si="4"/>
        <v>102</v>
      </c>
      <c r="F20" s="2">
        <f t="shared" si="1"/>
        <v>108</v>
      </c>
      <c r="G20" s="2">
        <f t="shared" si="2"/>
        <v>6</v>
      </c>
      <c r="H20" s="2">
        <f t="shared" si="5"/>
        <v>5</v>
      </c>
      <c r="I20" s="2">
        <f t="shared" si="6"/>
        <v>0</v>
      </c>
      <c r="Q20" s="26"/>
      <c r="R20" s="26"/>
      <c r="S20" s="26"/>
      <c r="U20" s="26"/>
      <c r="V20" s="26"/>
      <c r="W20" s="26"/>
      <c r="Y20" s="26"/>
      <c r="Z20" s="26"/>
      <c r="AA20" s="26"/>
    </row>
    <row r="21" ht="15.75" customHeight="1">
      <c r="A21" s="2">
        <v>20.0</v>
      </c>
      <c r="B21" s="19">
        <v>3.0</v>
      </c>
      <c r="C21" s="2">
        <f t="shared" si="3"/>
        <v>105</v>
      </c>
      <c r="D21" s="9">
        <v>4.0</v>
      </c>
      <c r="E21" s="2">
        <f t="shared" si="4"/>
        <v>108</v>
      </c>
      <c r="F21" s="2">
        <f t="shared" si="1"/>
        <v>112</v>
      </c>
      <c r="G21" s="2">
        <f t="shared" si="2"/>
        <v>7</v>
      </c>
      <c r="H21" s="2">
        <f t="shared" si="5"/>
        <v>0</v>
      </c>
      <c r="I21" s="2">
        <f t="shared" si="6"/>
        <v>3</v>
      </c>
      <c r="Q21" s="26"/>
      <c r="R21" s="26"/>
      <c r="S21" s="26"/>
      <c r="U21" s="26"/>
      <c r="V21" s="26"/>
      <c r="W21" s="26"/>
      <c r="Y21" s="26"/>
      <c r="Z21" s="26"/>
      <c r="AA21" s="26"/>
    </row>
    <row r="22" ht="15.75" customHeight="1">
      <c r="A22" s="32">
        <v>21.0</v>
      </c>
      <c r="B22" s="19">
        <v>5.0</v>
      </c>
      <c r="C22" s="2">
        <f t="shared" si="3"/>
        <v>110</v>
      </c>
      <c r="D22" s="9">
        <v>2.0</v>
      </c>
      <c r="E22" s="2">
        <f t="shared" si="4"/>
        <v>112</v>
      </c>
      <c r="F22" s="2">
        <f t="shared" si="1"/>
        <v>114</v>
      </c>
      <c r="G22" s="2">
        <f t="shared" si="2"/>
        <v>4</v>
      </c>
      <c r="H22" s="2">
        <f t="shared" si="5"/>
        <v>0</v>
      </c>
      <c r="I22" s="2">
        <f t="shared" si="6"/>
        <v>2</v>
      </c>
      <c r="Q22" s="26"/>
      <c r="R22" s="26"/>
      <c r="S22" s="26"/>
      <c r="U22" s="26"/>
      <c r="V22" s="26"/>
      <c r="W22" s="26"/>
      <c r="Y22" s="26"/>
      <c r="Z22" s="26"/>
      <c r="AA22" s="26"/>
    </row>
    <row r="23" ht="15.75" customHeight="1">
      <c r="A23" s="2">
        <f t="shared" ref="A23:A201" si="7">A22+1</f>
        <v>22</v>
      </c>
      <c r="B23" s="19">
        <v>1.0</v>
      </c>
      <c r="C23" s="2">
        <f t="shared" si="3"/>
        <v>111</v>
      </c>
      <c r="D23" s="9">
        <v>6.0</v>
      </c>
      <c r="E23" s="2">
        <f t="shared" si="4"/>
        <v>114</v>
      </c>
      <c r="F23" s="2">
        <f t="shared" si="1"/>
        <v>120</v>
      </c>
      <c r="G23" s="2">
        <f t="shared" si="2"/>
        <v>9</v>
      </c>
      <c r="H23" s="2">
        <f t="shared" si="5"/>
        <v>0</v>
      </c>
      <c r="I23" s="2">
        <f t="shared" si="6"/>
        <v>3</v>
      </c>
      <c r="Q23" s="26"/>
      <c r="R23" s="26"/>
      <c r="S23" s="26"/>
      <c r="U23" s="26"/>
      <c r="V23" s="26"/>
      <c r="W23" s="26"/>
      <c r="Y23" s="26"/>
      <c r="Z23" s="26"/>
      <c r="AA23" s="26"/>
    </row>
    <row r="24" ht="15.75" customHeight="1">
      <c r="A24" s="2">
        <f t="shared" si="7"/>
        <v>23</v>
      </c>
      <c r="B24" s="19">
        <v>9.0</v>
      </c>
      <c r="C24" s="2">
        <f t="shared" si="3"/>
        <v>120</v>
      </c>
      <c r="D24" s="9">
        <v>5.0</v>
      </c>
      <c r="E24" s="2">
        <f t="shared" si="4"/>
        <v>120</v>
      </c>
      <c r="F24" s="2">
        <f t="shared" si="1"/>
        <v>125</v>
      </c>
      <c r="G24" s="2">
        <f t="shared" si="2"/>
        <v>5</v>
      </c>
      <c r="H24" s="2">
        <f t="shared" si="5"/>
        <v>0</v>
      </c>
      <c r="I24" s="2">
        <f t="shared" si="6"/>
        <v>0</v>
      </c>
      <c r="Q24" s="26"/>
      <c r="R24" s="26"/>
      <c r="S24" s="26"/>
      <c r="U24" s="26"/>
      <c r="V24" s="26"/>
      <c r="W24" s="26"/>
      <c r="Y24" s="26"/>
      <c r="Z24" s="26"/>
      <c r="AA24" s="26"/>
    </row>
    <row r="25" ht="15.75" customHeight="1">
      <c r="A25" s="2">
        <f t="shared" si="7"/>
        <v>24</v>
      </c>
      <c r="B25" s="19">
        <v>7.0</v>
      </c>
      <c r="C25" s="2">
        <f t="shared" si="3"/>
        <v>127</v>
      </c>
      <c r="D25" s="9">
        <v>3.0</v>
      </c>
      <c r="E25" s="2">
        <f t="shared" si="4"/>
        <v>127</v>
      </c>
      <c r="F25" s="2">
        <f t="shared" si="1"/>
        <v>130</v>
      </c>
      <c r="G25" s="2">
        <f t="shared" si="2"/>
        <v>3</v>
      </c>
      <c r="H25" s="2">
        <f t="shared" si="5"/>
        <v>2</v>
      </c>
      <c r="I25" s="2">
        <f t="shared" si="6"/>
        <v>0</v>
      </c>
      <c r="Q25" s="26"/>
      <c r="R25" s="26"/>
      <c r="S25" s="26"/>
      <c r="U25" s="26"/>
      <c r="V25" s="26"/>
      <c r="W25" s="26"/>
      <c r="Y25" s="26"/>
      <c r="Z25" s="26"/>
      <c r="AA25" s="26"/>
    </row>
    <row r="26" ht="15.75" customHeight="1">
      <c r="A26" s="2">
        <f t="shared" si="7"/>
        <v>25</v>
      </c>
      <c r="B26" s="19">
        <v>2.0</v>
      </c>
      <c r="C26" s="2">
        <f t="shared" si="3"/>
        <v>129</v>
      </c>
      <c r="D26" s="9">
        <v>1.0</v>
      </c>
      <c r="E26" s="2">
        <f t="shared" si="4"/>
        <v>130</v>
      </c>
      <c r="F26" s="2">
        <f t="shared" si="1"/>
        <v>131</v>
      </c>
      <c r="G26" s="2">
        <f t="shared" si="2"/>
        <v>2</v>
      </c>
      <c r="H26" s="2">
        <f t="shared" si="5"/>
        <v>0</v>
      </c>
      <c r="I26" s="2">
        <f t="shared" si="6"/>
        <v>1</v>
      </c>
      <c r="Q26" s="26"/>
      <c r="R26" s="26"/>
      <c r="S26" s="26"/>
      <c r="U26" s="26"/>
      <c r="V26" s="26"/>
      <c r="W26" s="26"/>
      <c r="Y26" s="26"/>
      <c r="Z26" s="26"/>
      <c r="AA26" s="26"/>
    </row>
    <row r="27" ht="15.75" customHeight="1">
      <c r="A27" s="2">
        <f t="shared" si="7"/>
        <v>26</v>
      </c>
      <c r="B27" s="19">
        <v>10.0</v>
      </c>
      <c r="C27" s="2">
        <f t="shared" si="3"/>
        <v>139</v>
      </c>
      <c r="D27" s="9">
        <v>4.0</v>
      </c>
      <c r="E27" s="2">
        <f t="shared" si="4"/>
        <v>139</v>
      </c>
      <c r="F27" s="2">
        <f t="shared" si="1"/>
        <v>143</v>
      </c>
      <c r="G27" s="2">
        <f t="shared" si="2"/>
        <v>4</v>
      </c>
      <c r="H27" s="2">
        <f t="shared" si="5"/>
        <v>8</v>
      </c>
      <c r="I27" s="2">
        <f t="shared" si="6"/>
        <v>0</v>
      </c>
      <c r="Q27" s="26"/>
      <c r="R27" s="26"/>
      <c r="S27" s="26"/>
      <c r="U27" s="26"/>
      <c r="V27" s="26"/>
      <c r="W27" s="26"/>
      <c r="Y27" s="26"/>
      <c r="Z27" s="26"/>
      <c r="AA27" s="26"/>
    </row>
    <row r="28" ht="15.75" customHeight="1">
      <c r="A28" s="2">
        <f t="shared" si="7"/>
        <v>27</v>
      </c>
      <c r="B28" s="19">
        <v>6.0</v>
      </c>
      <c r="C28" s="2">
        <f t="shared" si="3"/>
        <v>145</v>
      </c>
      <c r="D28" s="9">
        <v>5.0</v>
      </c>
      <c r="E28" s="2">
        <f t="shared" si="4"/>
        <v>145</v>
      </c>
      <c r="F28" s="2">
        <f t="shared" si="1"/>
        <v>150</v>
      </c>
      <c r="G28" s="2">
        <f t="shared" si="2"/>
        <v>5</v>
      </c>
      <c r="H28" s="2">
        <f t="shared" si="5"/>
        <v>2</v>
      </c>
      <c r="I28" s="2">
        <f t="shared" si="6"/>
        <v>0</v>
      </c>
      <c r="Q28" s="26"/>
      <c r="R28" s="26"/>
      <c r="S28" s="26"/>
      <c r="U28" s="26"/>
      <c r="V28" s="26"/>
      <c r="W28" s="26"/>
      <c r="Y28" s="26"/>
      <c r="Z28" s="26"/>
      <c r="AA28" s="26"/>
    </row>
    <row r="29" ht="15.75" customHeight="1">
      <c r="A29" s="2">
        <f t="shared" si="7"/>
        <v>28</v>
      </c>
      <c r="B29" s="19">
        <v>4.0</v>
      </c>
      <c r="C29" s="2">
        <f t="shared" si="3"/>
        <v>149</v>
      </c>
      <c r="D29" s="9">
        <v>2.0</v>
      </c>
      <c r="E29" s="2">
        <f t="shared" si="4"/>
        <v>150</v>
      </c>
      <c r="F29" s="2">
        <f t="shared" si="1"/>
        <v>152</v>
      </c>
      <c r="G29" s="2">
        <f t="shared" si="2"/>
        <v>3</v>
      </c>
      <c r="H29" s="2">
        <f t="shared" si="5"/>
        <v>0</v>
      </c>
      <c r="I29" s="2">
        <f t="shared" si="6"/>
        <v>1</v>
      </c>
      <c r="Q29" s="26"/>
      <c r="R29" s="26"/>
      <c r="S29" s="26"/>
      <c r="U29" s="26"/>
      <c r="V29" s="26"/>
      <c r="W29" s="26"/>
      <c r="Y29" s="26"/>
      <c r="Z29" s="26"/>
      <c r="AA29" s="26"/>
    </row>
    <row r="30" ht="15.75" customHeight="1">
      <c r="A30" s="2">
        <f t="shared" si="7"/>
        <v>29</v>
      </c>
      <c r="B30" s="19">
        <v>8.0</v>
      </c>
      <c r="C30" s="2">
        <f t="shared" si="3"/>
        <v>157</v>
      </c>
      <c r="D30" s="9">
        <v>1.0</v>
      </c>
      <c r="E30" s="2">
        <f t="shared" si="4"/>
        <v>157</v>
      </c>
      <c r="F30" s="2">
        <f t="shared" si="1"/>
        <v>158</v>
      </c>
      <c r="G30" s="2">
        <f t="shared" si="2"/>
        <v>1</v>
      </c>
      <c r="H30" s="2">
        <f t="shared" si="5"/>
        <v>5</v>
      </c>
      <c r="I30" s="2">
        <f t="shared" si="6"/>
        <v>0</v>
      </c>
      <c r="Q30" s="26"/>
      <c r="R30" s="26"/>
      <c r="S30" s="26"/>
      <c r="U30" s="26"/>
      <c r="V30" s="26"/>
      <c r="W30" s="26"/>
      <c r="Y30" s="26"/>
      <c r="Z30" s="26"/>
      <c r="AA30" s="26"/>
    </row>
    <row r="31" ht="15.75" customHeight="1">
      <c r="A31" s="2">
        <f t="shared" si="7"/>
        <v>30</v>
      </c>
      <c r="B31" s="19">
        <v>3.0</v>
      </c>
      <c r="C31" s="2">
        <f t="shared" si="3"/>
        <v>160</v>
      </c>
      <c r="D31" s="9">
        <v>6.0</v>
      </c>
      <c r="E31" s="2">
        <f t="shared" si="4"/>
        <v>160</v>
      </c>
      <c r="F31" s="2">
        <f t="shared" si="1"/>
        <v>166</v>
      </c>
      <c r="G31" s="2">
        <f t="shared" si="2"/>
        <v>6</v>
      </c>
      <c r="H31" s="2">
        <f t="shared" si="5"/>
        <v>2</v>
      </c>
      <c r="I31" s="2">
        <f t="shared" si="6"/>
        <v>0</v>
      </c>
      <c r="Q31" s="26"/>
      <c r="R31" s="26"/>
      <c r="S31" s="26"/>
      <c r="U31" s="26"/>
      <c r="V31" s="26"/>
      <c r="W31" s="26"/>
      <c r="Y31" s="26"/>
      <c r="Z31" s="26"/>
      <c r="AA31" s="26"/>
    </row>
    <row r="32" ht="15.75" customHeight="1">
      <c r="A32" s="2">
        <f t="shared" si="7"/>
        <v>31</v>
      </c>
      <c r="B32" s="19">
        <v>5.0</v>
      </c>
      <c r="C32" s="2">
        <f t="shared" si="3"/>
        <v>165</v>
      </c>
      <c r="D32" s="9">
        <v>3.0</v>
      </c>
      <c r="E32" s="2">
        <f t="shared" si="4"/>
        <v>166</v>
      </c>
      <c r="F32" s="2">
        <f t="shared" si="1"/>
        <v>169</v>
      </c>
      <c r="G32" s="2">
        <f t="shared" si="2"/>
        <v>4</v>
      </c>
      <c r="H32" s="2">
        <f t="shared" si="5"/>
        <v>0</v>
      </c>
      <c r="I32" s="2">
        <f t="shared" si="6"/>
        <v>1</v>
      </c>
      <c r="Q32" s="26"/>
      <c r="R32" s="26"/>
      <c r="S32" s="26"/>
      <c r="U32" s="26"/>
      <c r="V32" s="26"/>
      <c r="W32" s="26"/>
      <c r="Y32" s="26"/>
      <c r="Z32" s="26"/>
      <c r="AA32" s="26"/>
    </row>
    <row r="33" ht="15.75" customHeight="1">
      <c r="A33" s="2">
        <f t="shared" si="7"/>
        <v>32</v>
      </c>
      <c r="B33" s="19">
        <v>9.0</v>
      </c>
      <c r="C33" s="2">
        <f t="shared" si="3"/>
        <v>174</v>
      </c>
      <c r="D33" s="9">
        <v>2.0</v>
      </c>
      <c r="E33" s="2">
        <f t="shared" si="4"/>
        <v>174</v>
      </c>
      <c r="F33" s="2">
        <f t="shared" si="1"/>
        <v>176</v>
      </c>
      <c r="G33" s="2">
        <f t="shared" si="2"/>
        <v>2</v>
      </c>
      <c r="H33" s="2">
        <f t="shared" si="5"/>
        <v>5</v>
      </c>
      <c r="I33" s="2">
        <f t="shared" si="6"/>
        <v>0</v>
      </c>
      <c r="Q33" s="26"/>
      <c r="R33" s="26"/>
      <c r="S33" s="26"/>
      <c r="U33" s="26"/>
      <c r="V33" s="26"/>
      <c r="W33" s="26"/>
      <c r="Y33" s="26"/>
      <c r="Z33" s="26"/>
      <c r="AA33" s="26"/>
    </row>
    <row r="34" ht="15.75" customHeight="1">
      <c r="A34" s="2">
        <f t="shared" si="7"/>
        <v>33</v>
      </c>
      <c r="B34" s="19">
        <v>7.0</v>
      </c>
      <c r="C34" s="2">
        <f t="shared" si="3"/>
        <v>181</v>
      </c>
      <c r="D34" s="9">
        <v>4.0</v>
      </c>
      <c r="E34" s="2">
        <f t="shared" si="4"/>
        <v>181</v>
      </c>
      <c r="F34" s="2">
        <f t="shared" si="1"/>
        <v>185</v>
      </c>
      <c r="G34" s="2">
        <f t="shared" si="2"/>
        <v>4</v>
      </c>
      <c r="H34" s="2">
        <f t="shared" si="5"/>
        <v>5</v>
      </c>
      <c r="I34" s="2">
        <f t="shared" si="6"/>
        <v>0</v>
      </c>
      <c r="Q34" s="26"/>
      <c r="R34" s="26"/>
      <c r="S34" s="26"/>
      <c r="U34" s="26"/>
      <c r="V34" s="26"/>
      <c r="W34" s="26"/>
      <c r="Y34" s="26"/>
      <c r="Z34" s="26"/>
      <c r="AA34" s="26"/>
    </row>
    <row r="35" ht="15.75" customHeight="1">
      <c r="A35" s="2">
        <f t="shared" si="7"/>
        <v>34</v>
      </c>
      <c r="B35" s="19">
        <v>1.0</v>
      </c>
      <c r="C35" s="2">
        <f t="shared" si="3"/>
        <v>182</v>
      </c>
      <c r="D35" s="9">
        <v>6.0</v>
      </c>
      <c r="E35" s="2">
        <f t="shared" si="4"/>
        <v>185</v>
      </c>
      <c r="F35" s="2">
        <f t="shared" si="1"/>
        <v>191</v>
      </c>
      <c r="G35" s="2">
        <f t="shared" si="2"/>
        <v>9</v>
      </c>
      <c r="H35" s="2">
        <f t="shared" si="5"/>
        <v>0</v>
      </c>
      <c r="I35" s="2">
        <f t="shared" si="6"/>
        <v>3</v>
      </c>
      <c r="Q35" s="26"/>
      <c r="R35" s="26"/>
      <c r="S35" s="26"/>
      <c r="U35" s="26"/>
      <c r="V35" s="26"/>
      <c r="W35" s="26"/>
      <c r="Y35" s="26"/>
      <c r="Z35" s="26"/>
      <c r="AA35" s="26"/>
    </row>
    <row r="36" ht="15.75" customHeight="1">
      <c r="A36" s="2">
        <f t="shared" si="7"/>
        <v>35</v>
      </c>
      <c r="B36" s="19">
        <v>10.0</v>
      </c>
      <c r="C36" s="2">
        <f t="shared" si="3"/>
        <v>192</v>
      </c>
      <c r="D36" s="9">
        <v>1.0</v>
      </c>
      <c r="E36" s="2">
        <f t="shared" si="4"/>
        <v>192</v>
      </c>
      <c r="F36" s="2">
        <f t="shared" si="1"/>
        <v>193</v>
      </c>
      <c r="G36" s="2">
        <f t="shared" si="2"/>
        <v>1</v>
      </c>
      <c r="H36" s="2">
        <f t="shared" si="5"/>
        <v>1</v>
      </c>
      <c r="I36" s="2">
        <f t="shared" si="6"/>
        <v>0</v>
      </c>
      <c r="Q36" s="26"/>
      <c r="R36" s="26"/>
      <c r="S36" s="26"/>
      <c r="U36" s="26"/>
      <c r="V36" s="26"/>
      <c r="W36" s="26"/>
      <c r="Y36" s="26"/>
      <c r="Z36" s="26"/>
      <c r="AA36" s="26"/>
    </row>
    <row r="37" ht="15.75" customHeight="1">
      <c r="A37" s="2">
        <f t="shared" si="7"/>
        <v>36</v>
      </c>
      <c r="B37" s="19">
        <v>6.0</v>
      </c>
      <c r="C37" s="2">
        <f t="shared" si="3"/>
        <v>198</v>
      </c>
      <c r="D37" s="9">
        <v>5.0</v>
      </c>
      <c r="E37" s="2">
        <f t="shared" si="4"/>
        <v>198</v>
      </c>
      <c r="F37" s="2">
        <f t="shared" si="1"/>
        <v>203</v>
      </c>
      <c r="G37" s="2">
        <f t="shared" si="2"/>
        <v>5</v>
      </c>
      <c r="H37" s="2">
        <f t="shared" si="5"/>
        <v>5</v>
      </c>
      <c r="I37" s="2">
        <f t="shared" si="6"/>
        <v>0</v>
      </c>
      <c r="Q37" s="26"/>
      <c r="R37" s="26"/>
      <c r="S37" s="26"/>
      <c r="U37" s="26"/>
      <c r="V37" s="26"/>
      <c r="W37" s="26"/>
      <c r="Y37" s="26"/>
      <c r="Z37" s="26"/>
      <c r="AA37" s="26"/>
    </row>
    <row r="38" ht="15.75" customHeight="1">
      <c r="A38" s="2">
        <f t="shared" si="7"/>
        <v>37</v>
      </c>
      <c r="B38" s="19">
        <v>2.0</v>
      </c>
      <c r="C38" s="2">
        <f t="shared" si="3"/>
        <v>200</v>
      </c>
      <c r="D38" s="9">
        <v>4.0</v>
      </c>
      <c r="E38" s="2">
        <f t="shared" si="4"/>
        <v>203</v>
      </c>
      <c r="F38" s="2">
        <f t="shared" si="1"/>
        <v>207</v>
      </c>
      <c r="G38" s="2">
        <f t="shared" si="2"/>
        <v>7</v>
      </c>
      <c r="H38" s="2">
        <f t="shared" si="5"/>
        <v>0</v>
      </c>
      <c r="I38" s="2">
        <f t="shared" si="6"/>
        <v>3</v>
      </c>
      <c r="Q38" s="26"/>
      <c r="R38" s="26"/>
      <c r="S38" s="26"/>
      <c r="U38" s="26"/>
      <c r="V38" s="26"/>
      <c r="W38" s="26"/>
      <c r="Y38" s="26"/>
      <c r="Z38" s="26"/>
      <c r="AA38" s="26"/>
    </row>
    <row r="39" ht="15.75" customHeight="1">
      <c r="A39" s="2">
        <f t="shared" si="7"/>
        <v>38</v>
      </c>
      <c r="B39" s="19">
        <v>8.0</v>
      </c>
      <c r="C39" s="2">
        <f t="shared" si="3"/>
        <v>208</v>
      </c>
      <c r="D39" s="9">
        <v>2.0</v>
      </c>
      <c r="E39" s="2">
        <f t="shared" si="4"/>
        <v>208</v>
      </c>
      <c r="F39" s="2">
        <f t="shared" si="1"/>
        <v>210</v>
      </c>
      <c r="G39" s="2">
        <f t="shared" si="2"/>
        <v>2</v>
      </c>
      <c r="H39" s="2">
        <f t="shared" si="5"/>
        <v>1</v>
      </c>
      <c r="I39" s="2">
        <f t="shared" si="6"/>
        <v>0</v>
      </c>
      <c r="Q39" s="26"/>
      <c r="R39" s="26"/>
      <c r="S39" s="26"/>
      <c r="U39" s="26"/>
      <c r="V39" s="26"/>
      <c r="W39" s="26"/>
      <c r="Y39" s="26"/>
      <c r="Z39" s="26"/>
      <c r="AA39" s="26"/>
    </row>
    <row r="40" ht="15.75" customHeight="1">
      <c r="A40" s="2">
        <f t="shared" si="7"/>
        <v>39</v>
      </c>
      <c r="B40" s="19">
        <v>4.0</v>
      </c>
      <c r="C40" s="2">
        <f t="shared" si="3"/>
        <v>212</v>
      </c>
      <c r="D40" s="9">
        <v>6.0</v>
      </c>
      <c r="E40" s="2">
        <f t="shared" si="4"/>
        <v>212</v>
      </c>
      <c r="F40" s="2">
        <f t="shared" si="1"/>
        <v>218</v>
      </c>
      <c r="G40" s="2">
        <f t="shared" si="2"/>
        <v>6</v>
      </c>
      <c r="H40" s="2">
        <f t="shared" si="5"/>
        <v>2</v>
      </c>
      <c r="I40" s="2">
        <f t="shared" si="6"/>
        <v>0</v>
      </c>
      <c r="Q40" s="26"/>
      <c r="R40" s="26"/>
      <c r="S40" s="26"/>
      <c r="U40" s="26"/>
      <c r="V40" s="26"/>
      <c r="W40" s="26"/>
      <c r="Y40" s="26"/>
      <c r="Z40" s="26"/>
      <c r="AA40" s="26"/>
    </row>
    <row r="41" ht="15.75" customHeight="1">
      <c r="A41" s="2">
        <f t="shared" si="7"/>
        <v>40</v>
      </c>
      <c r="B41" s="19">
        <v>3.0</v>
      </c>
      <c r="C41" s="2">
        <f t="shared" si="3"/>
        <v>215</v>
      </c>
      <c r="D41" s="9">
        <v>3.0</v>
      </c>
      <c r="E41" s="2">
        <f t="shared" si="4"/>
        <v>218</v>
      </c>
      <c r="F41" s="2">
        <f t="shared" si="1"/>
        <v>221</v>
      </c>
      <c r="G41" s="2">
        <f t="shared" si="2"/>
        <v>6</v>
      </c>
      <c r="H41" s="2">
        <f t="shared" si="5"/>
        <v>0</v>
      </c>
      <c r="I41" s="2">
        <f t="shared" si="6"/>
        <v>3</v>
      </c>
      <c r="Q41" s="26"/>
      <c r="R41" s="26"/>
      <c r="S41" s="26"/>
      <c r="U41" s="26"/>
      <c r="V41" s="26"/>
      <c r="W41" s="26"/>
      <c r="Y41" s="26"/>
      <c r="Z41" s="26"/>
      <c r="AA41" s="26"/>
    </row>
    <row r="42" ht="15.75" customHeight="1">
      <c r="A42" s="2">
        <f t="shared" si="7"/>
        <v>41</v>
      </c>
      <c r="B42" s="19">
        <v>5.0</v>
      </c>
      <c r="C42" s="2">
        <f t="shared" si="3"/>
        <v>220</v>
      </c>
      <c r="D42" s="9">
        <v>1.0</v>
      </c>
      <c r="E42" s="2">
        <f t="shared" si="4"/>
        <v>221</v>
      </c>
      <c r="F42" s="2">
        <f t="shared" si="1"/>
        <v>222</v>
      </c>
      <c r="G42" s="2">
        <f t="shared" si="2"/>
        <v>2</v>
      </c>
      <c r="H42" s="2">
        <f t="shared" si="5"/>
        <v>0</v>
      </c>
      <c r="I42" s="2">
        <f t="shared" si="6"/>
        <v>1</v>
      </c>
      <c r="Q42" s="26"/>
      <c r="R42" s="26"/>
      <c r="S42" s="26"/>
      <c r="U42" s="26"/>
      <c r="V42" s="26"/>
      <c r="W42" s="26"/>
      <c r="Y42" s="26"/>
      <c r="Z42" s="26"/>
      <c r="AA42" s="26"/>
    </row>
    <row r="43" ht="15.75" customHeight="1">
      <c r="A43" s="2">
        <f t="shared" si="7"/>
        <v>42</v>
      </c>
      <c r="B43" s="19">
        <v>9.0</v>
      </c>
      <c r="C43" s="2">
        <f t="shared" si="3"/>
        <v>229</v>
      </c>
      <c r="D43" s="9">
        <v>6.0</v>
      </c>
      <c r="E43" s="2">
        <f t="shared" si="4"/>
        <v>229</v>
      </c>
      <c r="F43" s="2">
        <f t="shared" si="1"/>
        <v>235</v>
      </c>
      <c r="G43" s="2">
        <f t="shared" si="2"/>
        <v>6</v>
      </c>
      <c r="H43" s="2">
        <f t="shared" si="5"/>
        <v>7</v>
      </c>
      <c r="I43" s="2">
        <f t="shared" si="6"/>
        <v>0</v>
      </c>
      <c r="Q43" s="26"/>
      <c r="R43" s="26"/>
      <c r="S43" s="26"/>
      <c r="U43" s="26"/>
      <c r="V43" s="26"/>
      <c r="W43" s="26"/>
      <c r="Y43" s="26"/>
      <c r="Z43" s="26"/>
      <c r="AA43" s="26"/>
    </row>
    <row r="44" ht="15.75" customHeight="1">
      <c r="A44" s="2">
        <f t="shared" si="7"/>
        <v>43</v>
      </c>
      <c r="B44" s="19">
        <v>7.0</v>
      </c>
      <c r="C44" s="2">
        <f t="shared" si="3"/>
        <v>236</v>
      </c>
      <c r="D44" s="9">
        <v>5.0</v>
      </c>
      <c r="E44" s="2">
        <f t="shared" si="4"/>
        <v>236</v>
      </c>
      <c r="F44" s="2">
        <f t="shared" si="1"/>
        <v>241</v>
      </c>
      <c r="G44" s="2">
        <f t="shared" si="2"/>
        <v>5</v>
      </c>
      <c r="H44" s="2">
        <f t="shared" si="5"/>
        <v>1</v>
      </c>
      <c r="I44" s="2">
        <f t="shared" si="6"/>
        <v>0</v>
      </c>
      <c r="Q44" s="26"/>
      <c r="R44" s="26"/>
      <c r="S44" s="26"/>
      <c r="U44" s="26"/>
      <c r="V44" s="26"/>
      <c r="W44" s="26"/>
      <c r="Y44" s="26"/>
      <c r="Z44" s="26"/>
      <c r="AA44" s="26"/>
    </row>
    <row r="45" ht="15.75" customHeight="1">
      <c r="A45" s="2">
        <f t="shared" si="7"/>
        <v>44</v>
      </c>
      <c r="B45" s="19">
        <v>10.0</v>
      </c>
      <c r="C45" s="2">
        <f t="shared" si="3"/>
        <v>246</v>
      </c>
      <c r="D45" s="9">
        <v>3.0</v>
      </c>
      <c r="E45" s="2">
        <f t="shared" si="4"/>
        <v>246</v>
      </c>
      <c r="F45" s="2">
        <f t="shared" si="1"/>
        <v>249</v>
      </c>
      <c r="G45" s="2">
        <f t="shared" si="2"/>
        <v>3</v>
      </c>
      <c r="H45" s="2">
        <f t="shared" si="5"/>
        <v>5</v>
      </c>
      <c r="I45" s="2">
        <f t="shared" si="6"/>
        <v>0</v>
      </c>
      <c r="Q45" s="26"/>
      <c r="R45" s="26"/>
      <c r="S45" s="26"/>
      <c r="U45" s="26"/>
      <c r="V45" s="26"/>
      <c r="W45" s="26"/>
      <c r="Y45" s="26"/>
      <c r="Z45" s="26"/>
      <c r="AA45" s="26"/>
    </row>
    <row r="46" ht="15.75" customHeight="1">
      <c r="A46" s="2">
        <f t="shared" si="7"/>
        <v>45</v>
      </c>
      <c r="B46" s="19">
        <v>1.0</v>
      </c>
      <c r="C46" s="2">
        <f t="shared" si="3"/>
        <v>247</v>
      </c>
      <c r="D46" s="9">
        <v>2.0</v>
      </c>
      <c r="E46" s="2">
        <f t="shared" si="4"/>
        <v>249</v>
      </c>
      <c r="F46" s="2">
        <f t="shared" si="1"/>
        <v>251</v>
      </c>
      <c r="G46" s="2">
        <f t="shared" si="2"/>
        <v>4</v>
      </c>
      <c r="H46" s="2">
        <f t="shared" si="5"/>
        <v>0</v>
      </c>
      <c r="I46" s="2">
        <f t="shared" si="6"/>
        <v>2</v>
      </c>
      <c r="Q46" s="26"/>
      <c r="R46" s="26"/>
      <c r="S46" s="26"/>
      <c r="U46" s="26"/>
      <c r="V46" s="26"/>
      <c r="W46" s="26"/>
      <c r="Y46" s="26"/>
      <c r="Z46" s="26"/>
      <c r="AA46" s="26"/>
    </row>
    <row r="47" ht="15.75" customHeight="1">
      <c r="A47" s="2">
        <f t="shared" si="7"/>
        <v>46</v>
      </c>
      <c r="B47" s="19">
        <v>6.0</v>
      </c>
      <c r="C47" s="2">
        <f t="shared" si="3"/>
        <v>253</v>
      </c>
      <c r="D47" s="9">
        <v>4.0</v>
      </c>
      <c r="E47" s="2">
        <f t="shared" si="4"/>
        <v>253</v>
      </c>
      <c r="F47" s="2">
        <f t="shared" si="1"/>
        <v>257</v>
      </c>
      <c r="G47" s="2">
        <f t="shared" si="2"/>
        <v>4</v>
      </c>
      <c r="H47" s="2">
        <f t="shared" si="5"/>
        <v>2</v>
      </c>
      <c r="I47" s="2">
        <f t="shared" si="6"/>
        <v>0</v>
      </c>
      <c r="Q47" s="26"/>
      <c r="R47" s="26"/>
      <c r="S47" s="26"/>
      <c r="U47" s="26"/>
      <c r="V47" s="26"/>
      <c r="W47" s="26"/>
      <c r="Y47" s="26"/>
      <c r="Z47" s="26"/>
      <c r="AA47" s="26"/>
    </row>
    <row r="48" ht="15.75" customHeight="1">
      <c r="A48" s="2">
        <f t="shared" si="7"/>
        <v>47</v>
      </c>
      <c r="B48" s="19">
        <v>2.0</v>
      </c>
      <c r="C48" s="2">
        <f t="shared" si="3"/>
        <v>255</v>
      </c>
      <c r="D48" s="9">
        <v>6.0</v>
      </c>
      <c r="E48" s="2">
        <f t="shared" si="4"/>
        <v>257</v>
      </c>
      <c r="F48" s="2">
        <f t="shared" si="1"/>
        <v>263</v>
      </c>
      <c r="G48" s="2">
        <f t="shared" si="2"/>
        <v>8</v>
      </c>
      <c r="H48" s="2">
        <f t="shared" si="5"/>
        <v>0</v>
      </c>
      <c r="I48" s="2">
        <f t="shared" si="6"/>
        <v>2</v>
      </c>
      <c r="Q48" s="26"/>
      <c r="R48" s="26"/>
      <c r="S48" s="26"/>
      <c r="U48" s="26"/>
      <c r="V48" s="26"/>
      <c r="W48" s="26"/>
      <c r="Y48" s="26"/>
      <c r="Z48" s="26"/>
      <c r="AA48" s="26"/>
    </row>
    <row r="49" ht="15.75" customHeight="1">
      <c r="A49" s="2">
        <f t="shared" si="7"/>
        <v>48</v>
      </c>
      <c r="B49" s="19">
        <v>8.0</v>
      </c>
      <c r="C49" s="2">
        <f t="shared" si="3"/>
        <v>263</v>
      </c>
      <c r="D49" s="9">
        <v>1.0</v>
      </c>
      <c r="E49" s="2">
        <f t="shared" si="4"/>
        <v>263</v>
      </c>
      <c r="F49" s="2">
        <f t="shared" si="1"/>
        <v>264</v>
      </c>
      <c r="G49" s="2">
        <f t="shared" si="2"/>
        <v>1</v>
      </c>
      <c r="H49" s="2">
        <f t="shared" si="5"/>
        <v>0</v>
      </c>
      <c r="I49" s="2">
        <f t="shared" si="6"/>
        <v>0</v>
      </c>
      <c r="Q49" s="26"/>
      <c r="R49" s="26"/>
      <c r="S49" s="26"/>
      <c r="U49" s="26"/>
      <c r="V49" s="26"/>
      <c r="W49" s="26"/>
      <c r="Y49" s="26"/>
      <c r="Z49" s="26"/>
      <c r="AA49" s="26"/>
    </row>
    <row r="50" ht="15.75" customHeight="1">
      <c r="A50" s="2">
        <f t="shared" si="7"/>
        <v>49</v>
      </c>
      <c r="B50" s="19">
        <v>4.0</v>
      </c>
      <c r="C50" s="2">
        <f t="shared" si="3"/>
        <v>267</v>
      </c>
      <c r="D50" s="9">
        <v>5.0</v>
      </c>
      <c r="E50" s="2">
        <f t="shared" si="4"/>
        <v>267</v>
      </c>
      <c r="F50" s="2">
        <f t="shared" si="1"/>
        <v>272</v>
      </c>
      <c r="G50" s="2">
        <f t="shared" si="2"/>
        <v>5</v>
      </c>
      <c r="H50" s="2">
        <f t="shared" si="5"/>
        <v>3</v>
      </c>
      <c r="I50" s="2">
        <f t="shared" si="6"/>
        <v>0</v>
      </c>
      <c r="Q50" s="26"/>
      <c r="R50" s="26"/>
      <c r="S50" s="26"/>
      <c r="U50" s="26"/>
      <c r="V50" s="26"/>
      <c r="W50" s="26"/>
      <c r="Y50" s="26"/>
      <c r="Z50" s="26"/>
      <c r="AA50" s="26"/>
    </row>
    <row r="51" ht="15.75" customHeight="1">
      <c r="A51" s="2">
        <f t="shared" si="7"/>
        <v>50</v>
      </c>
      <c r="B51" s="19">
        <v>5.0</v>
      </c>
      <c r="C51" s="2">
        <f t="shared" si="3"/>
        <v>272</v>
      </c>
      <c r="D51" s="9">
        <v>2.0</v>
      </c>
      <c r="E51" s="2">
        <f t="shared" si="4"/>
        <v>272</v>
      </c>
      <c r="F51" s="2">
        <f t="shared" si="1"/>
        <v>274</v>
      </c>
      <c r="G51" s="2">
        <f t="shared" si="2"/>
        <v>2</v>
      </c>
      <c r="H51" s="2">
        <f t="shared" si="5"/>
        <v>0</v>
      </c>
      <c r="I51" s="2">
        <f t="shared" si="6"/>
        <v>0</v>
      </c>
      <c r="Q51" s="26"/>
      <c r="R51" s="26"/>
      <c r="S51" s="26"/>
      <c r="U51" s="26"/>
      <c r="V51" s="26"/>
      <c r="W51" s="26"/>
      <c r="Y51" s="26"/>
      <c r="Z51" s="26"/>
      <c r="AA51" s="26"/>
    </row>
    <row r="52" ht="15.75" customHeight="1">
      <c r="A52" s="2">
        <f t="shared" si="7"/>
        <v>51</v>
      </c>
      <c r="B52" s="19">
        <v>3.0</v>
      </c>
      <c r="C52" s="2">
        <f t="shared" si="3"/>
        <v>275</v>
      </c>
      <c r="D52" s="9">
        <v>4.0</v>
      </c>
      <c r="E52" s="2">
        <f t="shared" si="4"/>
        <v>275</v>
      </c>
      <c r="F52" s="2">
        <f t="shared" si="1"/>
        <v>279</v>
      </c>
      <c r="G52" s="2">
        <f t="shared" si="2"/>
        <v>4</v>
      </c>
      <c r="H52" s="2">
        <f t="shared" si="5"/>
        <v>1</v>
      </c>
      <c r="I52" s="2">
        <f t="shared" si="6"/>
        <v>0</v>
      </c>
      <c r="Q52" s="26"/>
      <c r="R52" s="26"/>
      <c r="S52" s="26"/>
      <c r="U52" s="26"/>
      <c r="V52" s="26"/>
      <c r="W52" s="26"/>
      <c r="Y52" s="26"/>
      <c r="Z52" s="26"/>
      <c r="AA52" s="26"/>
    </row>
    <row r="53" ht="15.75" customHeight="1">
      <c r="A53" s="2">
        <f t="shared" si="7"/>
        <v>52</v>
      </c>
      <c r="B53" s="19">
        <v>9.0</v>
      </c>
      <c r="C53" s="2">
        <f t="shared" si="3"/>
        <v>284</v>
      </c>
      <c r="D53" s="9">
        <v>1.0</v>
      </c>
      <c r="E53" s="2">
        <f t="shared" si="4"/>
        <v>284</v>
      </c>
      <c r="F53" s="2">
        <f t="shared" si="1"/>
        <v>285</v>
      </c>
      <c r="G53" s="2">
        <f t="shared" si="2"/>
        <v>1</v>
      </c>
      <c r="H53" s="2">
        <f t="shared" si="5"/>
        <v>5</v>
      </c>
      <c r="I53" s="2">
        <f t="shared" si="6"/>
        <v>0</v>
      </c>
      <c r="Q53" s="26"/>
      <c r="R53" s="26"/>
      <c r="S53" s="26"/>
      <c r="U53" s="26"/>
      <c r="V53" s="26"/>
      <c r="W53" s="26"/>
      <c r="Y53" s="26"/>
      <c r="Z53" s="26"/>
      <c r="AA53" s="26"/>
    </row>
    <row r="54" ht="15.75" customHeight="1">
      <c r="A54" s="2">
        <f t="shared" si="7"/>
        <v>53</v>
      </c>
      <c r="B54" s="19">
        <v>7.0</v>
      </c>
      <c r="C54" s="2">
        <f t="shared" si="3"/>
        <v>291</v>
      </c>
      <c r="D54" s="9">
        <v>3.0</v>
      </c>
      <c r="E54" s="2">
        <f t="shared" si="4"/>
        <v>291</v>
      </c>
      <c r="F54" s="2">
        <f t="shared" si="1"/>
        <v>294</v>
      </c>
      <c r="G54" s="2">
        <f t="shared" si="2"/>
        <v>3</v>
      </c>
      <c r="H54" s="2">
        <f t="shared" si="5"/>
        <v>6</v>
      </c>
      <c r="I54" s="2">
        <f t="shared" si="6"/>
        <v>0</v>
      </c>
      <c r="Q54" s="26"/>
      <c r="R54" s="26"/>
      <c r="S54" s="26"/>
      <c r="U54" s="26"/>
      <c r="V54" s="26"/>
      <c r="W54" s="26"/>
      <c r="Y54" s="26"/>
      <c r="Z54" s="26"/>
      <c r="AA54" s="26"/>
    </row>
    <row r="55" ht="15.75" customHeight="1">
      <c r="A55" s="2">
        <f t="shared" si="7"/>
        <v>54</v>
      </c>
      <c r="B55" s="19">
        <v>10.0</v>
      </c>
      <c r="C55" s="2">
        <f t="shared" si="3"/>
        <v>301</v>
      </c>
      <c r="D55" s="9">
        <v>6.0</v>
      </c>
      <c r="E55" s="2">
        <f t="shared" si="4"/>
        <v>301</v>
      </c>
      <c r="F55" s="2">
        <f t="shared" si="1"/>
        <v>307</v>
      </c>
      <c r="G55" s="2">
        <f t="shared" si="2"/>
        <v>6</v>
      </c>
      <c r="H55" s="2">
        <f t="shared" si="5"/>
        <v>7</v>
      </c>
      <c r="I55" s="2">
        <f t="shared" si="6"/>
        <v>0</v>
      </c>
      <c r="Q55" s="26"/>
      <c r="R55" s="26"/>
      <c r="S55" s="26"/>
      <c r="U55" s="26"/>
      <c r="V55" s="26"/>
      <c r="W55" s="26"/>
      <c r="Y55" s="26"/>
      <c r="Z55" s="26"/>
      <c r="AA55" s="26"/>
    </row>
    <row r="56" ht="15.75" customHeight="1">
      <c r="A56" s="2">
        <f t="shared" si="7"/>
        <v>55</v>
      </c>
      <c r="B56" s="19">
        <v>1.0</v>
      </c>
      <c r="C56" s="2">
        <f t="shared" si="3"/>
        <v>302</v>
      </c>
      <c r="D56" s="9">
        <v>5.0</v>
      </c>
      <c r="E56" s="2">
        <f t="shared" si="4"/>
        <v>307</v>
      </c>
      <c r="F56" s="2">
        <f t="shared" si="1"/>
        <v>312</v>
      </c>
      <c r="G56" s="2">
        <f t="shared" si="2"/>
        <v>10</v>
      </c>
      <c r="H56" s="2">
        <f t="shared" si="5"/>
        <v>0</v>
      </c>
      <c r="I56" s="2">
        <f t="shared" si="6"/>
        <v>5</v>
      </c>
      <c r="Q56" s="26"/>
      <c r="R56" s="26"/>
      <c r="S56" s="26"/>
      <c r="U56" s="26"/>
      <c r="V56" s="26"/>
      <c r="W56" s="26"/>
      <c r="Y56" s="26"/>
      <c r="Z56" s="26"/>
      <c r="AA56" s="26"/>
    </row>
    <row r="57" ht="15.75" customHeight="1">
      <c r="A57" s="2">
        <f t="shared" si="7"/>
        <v>56</v>
      </c>
      <c r="B57" s="19">
        <v>6.0</v>
      </c>
      <c r="C57" s="2">
        <f t="shared" si="3"/>
        <v>308</v>
      </c>
      <c r="D57" s="9">
        <v>2.0</v>
      </c>
      <c r="E57" s="2">
        <f t="shared" si="4"/>
        <v>312</v>
      </c>
      <c r="F57" s="2">
        <f t="shared" si="1"/>
        <v>314</v>
      </c>
      <c r="G57" s="2">
        <f t="shared" si="2"/>
        <v>6</v>
      </c>
      <c r="H57" s="2">
        <f t="shared" si="5"/>
        <v>0</v>
      </c>
      <c r="I57" s="2">
        <f t="shared" si="6"/>
        <v>4</v>
      </c>
      <c r="Q57" s="26"/>
      <c r="R57" s="26"/>
      <c r="S57" s="26"/>
      <c r="U57" s="26"/>
      <c r="V57" s="26"/>
      <c r="W57" s="26"/>
      <c r="Y57" s="26"/>
      <c r="Z57" s="26"/>
      <c r="AA57" s="26"/>
    </row>
    <row r="58" ht="15.75" customHeight="1">
      <c r="A58" s="2">
        <f t="shared" si="7"/>
        <v>57</v>
      </c>
      <c r="B58" s="19">
        <v>2.0</v>
      </c>
      <c r="C58" s="2">
        <f t="shared" si="3"/>
        <v>310</v>
      </c>
      <c r="D58" s="9">
        <v>1.0</v>
      </c>
      <c r="E58" s="2">
        <f t="shared" si="4"/>
        <v>314</v>
      </c>
      <c r="F58" s="2">
        <f t="shared" si="1"/>
        <v>315</v>
      </c>
      <c r="G58" s="2">
        <f t="shared" si="2"/>
        <v>5</v>
      </c>
      <c r="H58" s="2">
        <f t="shared" si="5"/>
        <v>0</v>
      </c>
      <c r="I58" s="2">
        <f t="shared" si="6"/>
        <v>4</v>
      </c>
      <c r="Q58" s="26"/>
      <c r="R58" s="26"/>
      <c r="S58" s="26"/>
      <c r="U58" s="26"/>
      <c r="V58" s="26"/>
      <c r="W58" s="26"/>
      <c r="Y58" s="26"/>
      <c r="Z58" s="26"/>
      <c r="AA58" s="26"/>
    </row>
    <row r="59" ht="15.75" customHeight="1">
      <c r="A59" s="2">
        <f t="shared" si="7"/>
        <v>58</v>
      </c>
      <c r="B59" s="19">
        <v>8.0</v>
      </c>
      <c r="C59" s="2">
        <f t="shared" si="3"/>
        <v>318</v>
      </c>
      <c r="D59" s="9">
        <v>6.0</v>
      </c>
      <c r="E59" s="2">
        <f t="shared" si="4"/>
        <v>318</v>
      </c>
      <c r="F59" s="2">
        <f t="shared" si="1"/>
        <v>324</v>
      </c>
      <c r="G59" s="2">
        <f t="shared" si="2"/>
        <v>6</v>
      </c>
      <c r="H59" s="2">
        <f t="shared" si="5"/>
        <v>3</v>
      </c>
      <c r="I59" s="2">
        <f t="shared" si="6"/>
        <v>0</v>
      </c>
      <c r="Q59" s="26"/>
      <c r="R59" s="26"/>
      <c r="S59" s="26"/>
      <c r="U59" s="26"/>
      <c r="V59" s="26"/>
      <c r="W59" s="26"/>
      <c r="Y59" s="26"/>
      <c r="Z59" s="26"/>
      <c r="AA59" s="26"/>
    </row>
    <row r="60" ht="15.75" customHeight="1">
      <c r="A60" s="2">
        <f t="shared" si="7"/>
        <v>59</v>
      </c>
      <c r="B60" s="19">
        <v>4.0</v>
      </c>
      <c r="C60" s="2">
        <f t="shared" si="3"/>
        <v>322</v>
      </c>
      <c r="D60" s="9">
        <v>5.0</v>
      </c>
      <c r="E60" s="2">
        <f t="shared" si="4"/>
        <v>324</v>
      </c>
      <c r="F60" s="2">
        <f t="shared" si="1"/>
        <v>329</v>
      </c>
      <c r="G60" s="2">
        <f t="shared" si="2"/>
        <v>7</v>
      </c>
      <c r="H60" s="2">
        <f t="shared" si="5"/>
        <v>0</v>
      </c>
      <c r="I60" s="2">
        <f t="shared" si="6"/>
        <v>2</v>
      </c>
      <c r="Q60" s="26"/>
      <c r="R60" s="26"/>
      <c r="S60" s="26"/>
      <c r="U60" s="26"/>
      <c r="V60" s="26"/>
      <c r="W60" s="26"/>
      <c r="Y60" s="26"/>
      <c r="Z60" s="26"/>
      <c r="AA60" s="26"/>
    </row>
    <row r="61" ht="15.75" customHeight="1">
      <c r="A61" s="2">
        <f t="shared" si="7"/>
        <v>60</v>
      </c>
      <c r="B61" s="19">
        <v>3.0</v>
      </c>
      <c r="C61" s="2">
        <f t="shared" si="3"/>
        <v>325</v>
      </c>
      <c r="D61" s="9">
        <v>4.0</v>
      </c>
      <c r="E61" s="2">
        <f t="shared" si="4"/>
        <v>329</v>
      </c>
      <c r="F61" s="2">
        <f t="shared" si="1"/>
        <v>333</v>
      </c>
      <c r="G61" s="2">
        <f t="shared" si="2"/>
        <v>8</v>
      </c>
      <c r="H61" s="2">
        <f t="shared" si="5"/>
        <v>0</v>
      </c>
      <c r="I61" s="2">
        <f t="shared" si="6"/>
        <v>4</v>
      </c>
      <c r="Q61" s="26"/>
      <c r="R61" s="26"/>
      <c r="S61" s="26"/>
      <c r="U61" s="26"/>
      <c r="V61" s="26"/>
      <c r="W61" s="26"/>
      <c r="Y61" s="26"/>
      <c r="Z61" s="26"/>
      <c r="AA61" s="26"/>
    </row>
    <row r="62" ht="15.75" customHeight="1">
      <c r="A62" s="2">
        <f t="shared" si="7"/>
        <v>61</v>
      </c>
      <c r="B62" s="19">
        <v>5.0</v>
      </c>
      <c r="C62" s="2">
        <f t="shared" si="3"/>
        <v>330</v>
      </c>
      <c r="D62" s="9">
        <v>2.0</v>
      </c>
      <c r="E62" s="2">
        <f t="shared" si="4"/>
        <v>333</v>
      </c>
      <c r="F62" s="2">
        <f t="shared" si="1"/>
        <v>335</v>
      </c>
      <c r="G62" s="2">
        <f t="shared" si="2"/>
        <v>5</v>
      </c>
      <c r="H62" s="2">
        <f t="shared" si="5"/>
        <v>0</v>
      </c>
      <c r="I62" s="2">
        <f t="shared" si="6"/>
        <v>3</v>
      </c>
      <c r="Q62" s="26"/>
      <c r="R62" s="26"/>
      <c r="S62" s="26"/>
      <c r="U62" s="26"/>
      <c r="V62" s="26"/>
      <c r="W62" s="26"/>
      <c r="Y62" s="26"/>
      <c r="Z62" s="26"/>
      <c r="AA62" s="26"/>
    </row>
    <row r="63" ht="15.75" customHeight="1">
      <c r="A63" s="2">
        <f t="shared" si="7"/>
        <v>62</v>
      </c>
      <c r="B63" s="19">
        <v>9.0</v>
      </c>
      <c r="C63" s="2">
        <f t="shared" si="3"/>
        <v>339</v>
      </c>
      <c r="D63" s="9">
        <v>6.0</v>
      </c>
      <c r="E63" s="2">
        <f t="shared" si="4"/>
        <v>339</v>
      </c>
      <c r="F63" s="2">
        <f t="shared" si="1"/>
        <v>345</v>
      </c>
      <c r="G63" s="2">
        <f t="shared" si="2"/>
        <v>6</v>
      </c>
      <c r="H63" s="2">
        <f t="shared" si="5"/>
        <v>4</v>
      </c>
      <c r="I63" s="2">
        <f t="shared" si="6"/>
        <v>0</v>
      </c>
      <c r="Q63" s="26"/>
      <c r="R63" s="26"/>
      <c r="S63" s="26"/>
      <c r="U63" s="26"/>
      <c r="V63" s="26"/>
      <c r="W63" s="26"/>
      <c r="Y63" s="26"/>
      <c r="Z63" s="26"/>
      <c r="AA63" s="26"/>
    </row>
    <row r="64" ht="15.75" customHeight="1">
      <c r="A64" s="2">
        <f t="shared" si="7"/>
        <v>63</v>
      </c>
      <c r="B64" s="19">
        <v>7.0</v>
      </c>
      <c r="C64" s="2">
        <f t="shared" si="3"/>
        <v>346</v>
      </c>
      <c r="D64" s="9">
        <v>1.0</v>
      </c>
      <c r="E64" s="2">
        <f t="shared" si="4"/>
        <v>346</v>
      </c>
      <c r="F64" s="2">
        <f t="shared" si="1"/>
        <v>347</v>
      </c>
      <c r="G64" s="2">
        <f t="shared" si="2"/>
        <v>1</v>
      </c>
      <c r="H64" s="2">
        <f t="shared" si="5"/>
        <v>1</v>
      </c>
      <c r="I64" s="2">
        <f t="shared" si="6"/>
        <v>0</v>
      </c>
      <c r="Q64" s="26"/>
      <c r="R64" s="26"/>
      <c r="S64" s="26"/>
      <c r="U64" s="26"/>
      <c r="V64" s="26"/>
      <c r="W64" s="26"/>
      <c r="Y64" s="26"/>
      <c r="Z64" s="26"/>
      <c r="AA64" s="26"/>
    </row>
    <row r="65" ht="15.75" customHeight="1">
      <c r="A65" s="2">
        <f t="shared" si="7"/>
        <v>64</v>
      </c>
      <c r="B65" s="19">
        <v>1.0</v>
      </c>
      <c r="C65" s="2">
        <f t="shared" si="3"/>
        <v>347</v>
      </c>
      <c r="D65" s="9">
        <v>5.0</v>
      </c>
      <c r="E65" s="2">
        <f t="shared" si="4"/>
        <v>347</v>
      </c>
      <c r="F65" s="2">
        <f t="shared" si="1"/>
        <v>352</v>
      </c>
      <c r="G65" s="2">
        <f t="shared" si="2"/>
        <v>5</v>
      </c>
      <c r="H65" s="2">
        <f t="shared" si="5"/>
        <v>0</v>
      </c>
      <c r="I65" s="2">
        <f t="shared" si="6"/>
        <v>0</v>
      </c>
      <c r="Q65" s="26"/>
      <c r="R65" s="26"/>
      <c r="S65" s="26"/>
      <c r="U65" s="26"/>
      <c r="V65" s="26"/>
      <c r="W65" s="26"/>
      <c r="Y65" s="26"/>
      <c r="Z65" s="26"/>
      <c r="AA65" s="26"/>
    </row>
    <row r="66" ht="15.75" customHeight="1">
      <c r="A66" s="2">
        <f t="shared" si="7"/>
        <v>65</v>
      </c>
      <c r="B66" s="19">
        <v>10.0</v>
      </c>
      <c r="C66" s="2">
        <f t="shared" si="3"/>
        <v>357</v>
      </c>
      <c r="D66" s="9">
        <v>3.0</v>
      </c>
      <c r="E66" s="2">
        <f t="shared" si="4"/>
        <v>357</v>
      </c>
      <c r="F66" s="2">
        <f t="shared" si="1"/>
        <v>360</v>
      </c>
      <c r="G66" s="2">
        <f t="shared" si="2"/>
        <v>3</v>
      </c>
      <c r="H66" s="2">
        <f t="shared" si="5"/>
        <v>5</v>
      </c>
      <c r="I66" s="2">
        <f t="shared" si="6"/>
        <v>0</v>
      </c>
      <c r="Q66" s="26"/>
      <c r="R66" s="26"/>
      <c r="S66" s="26"/>
      <c r="U66" s="26"/>
      <c r="V66" s="26"/>
      <c r="W66" s="26"/>
      <c r="Y66" s="26"/>
      <c r="Z66" s="26"/>
      <c r="AA66" s="26"/>
    </row>
    <row r="67" ht="15.75" customHeight="1">
      <c r="A67" s="2">
        <f t="shared" si="7"/>
        <v>66</v>
      </c>
      <c r="B67" s="19">
        <v>6.0</v>
      </c>
      <c r="C67" s="2">
        <f t="shared" si="3"/>
        <v>363</v>
      </c>
      <c r="D67" s="9">
        <v>6.0</v>
      </c>
      <c r="E67" s="2">
        <f t="shared" si="4"/>
        <v>363</v>
      </c>
      <c r="F67" s="2">
        <f t="shared" si="1"/>
        <v>369</v>
      </c>
      <c r="G67" s="2">
        <f t="shared" si="2"/>
        <v>6</v>
      </c>
      <c r="H67" s="2">
        <f t="shared" si="5"/>
        <v>3</v>
      </c>
      <c r="I67" s="2">
        <f t="shared" si="6"/>
        <v>0</v>
      </c>
      <c r="Q67" s="26"/>
      <c r="R67" s="26"/>
      <c r="S67" s="26"/>
      <c r="U67" s="26"/>
      <c r="V67" s="26"/>
      <c r="W67" s="26"/>
      <c r="Y67" s="26"/>
      <c r="Z67" s="26"/>
      <c r="AA67" s="26"/>
    </row>
    <row r="68" ht="15.75" customHeight="1">
      <c r="A68" s="2">
        <f t="shared" si="7"/>
        <v>67</v>
      </c>
      <c r="B68" s="19">
        <v>2.0</v>
      </c>
      <c r="C68" s="2">
        <f t="shared" si="3"/>
        <v>365</v>
      </c>
      <c r="D68" s="9">
        <v>4.0</v>
      </c>
      <c r="E68" s="2">
        <f t="shared" si="4"/>
        <v>369</v>
      </c>
      <c r="F68" s="2">
        <f t="shared" si="1"/>
        <v>373</v>
      </c>
      <c r="G68" s="2">
        <f t="shared" si="2"/>
        <v>8</v>
      </c>
      <c r="H68" s="2">
        <f t="shared" si="5"/>
        <v>0</v>
      </c>
      <c r="I68" s="2">
        <f t="shared" si="6"/>
        <v>4</v>
      </c>
      <c r="Q68" s="26"/>
      <c r="R68" s="26"/>
      <c r="S68" s="26"/>
      <c r="U68" s="26"/>
      <c r="V68" s="26"/>
      <c r="W68" s="26"/>
      <c r="Y68" s="26"/>
      <c r="Z68" s="26"/>
      <c r="AA68" s="26"/>
    </row>
    <row r="69" ht="15.75" customHeight="1">
      <c r="A69" s="2">
        <f t="shared" si="7"/>
        <v>68</v>
      </c>
      <c r="B69" s="19">
        <v>8.0</v>
      </c>
      <c r="C69" s="2">
        <f t="shared" si="3"/>
        <v>373</v>
      </c>
      <c r="D69" s="9">
        <v>2.0</v>
      </c>
      <c r="E69" s="2">
        <f t="shared" si="4"/>
        <v>373</v>
      </c>
      <c r="F69" s="2">
        <f t="shared" si="1"/>
        <v>375</v>
      </c>
      <c r="G69" s="2">
        <f t="shared" si="2"/>
        <v>2</v>
      </c>
      <c r="H69" s="2">
        <f t="shared" si="5"/>
        <v>0</v>
      </c>
      <c r="I69" s="2">
        <f t="shared" si="6"/>
        <v>0</v>
      </c>
      <c r="Q69" s="26"/>
      <c r="R69" s="26"/>
      <c r="S69" s="26"/>
      <c r="U69" s="26"/>
      <c r="V69" s="26"/>
      <c r="W69" s="26"/>
      <c r="Y69" s="26"/>
      <c r="Z69" s="26"/>
      <c r="AA69" s="26"/>
    </row>
    <row r="70" ht="15.75" customHeight="1">
      <c r="A70" s="2">
        <f t="shared" si="7"/>
        <v>69</v>
      </c>
      <c r="B70" s="19">
        <v>4.0</v>
      </c>
      <c r="C70" s="2">
        <f t="shared" si="3"/>
        <v>377</v>
      </c>
      <c r="D70" s="9">
        <v>1.0</v>
      </c>
      <c r="E70" s="2">
        <f t="shared" si="4"/>
        <v>377</v>
      </c>
      <c r="F70" s="2">
        <f t="shared" si="1"/>
        <v>378</v>
      </c>
      <c r="G70" s="2">
        <f t="shared" si="2"/>
        <v>1</v>
      </c>
      <c r="H70" s="2">
        <f t="shared" si="5"/>
        <v>2</v>
      </c>
      <c r="I70" s="2">
        <f t="shared" si="6"/>
        <v>0</v>
      </c>
      <c r="Q70" s="26"/>
      <c r="R70" s="26"/>
      <c r="S70" s="26"/>
      <c r="U70" s="26"/>
      <c r="V70" s="26"/>
      <c r="W70" s="26"/>
      <c r="Y70" s="26"/>
      <c r="Z70" s="26"/>
      <c r="AA70" s="26"/>
    </row>
    <row r="71" ht="15.75" customHeight="1">
      <c r="A71" s="2">
        <f t="shared" si="7"/>
        <v>70</v>
      </c>
      <c r="B71" s="19">
        <v>3.0</v>
      </c>
      <c r="C71" s="2">
        <f t="shared" si="3"/>
        <v>380</v>
      </c>
      <c r="D71" s="9">
        <v>5.0</v>
      </c>
      <c r="E71" s="2">
        <f t="shared" si="4"/>
        <v>380</v>
      </c>
      <c r="F71" s="2">
        <f t="shared" si="1"/>
        <v>385</v>
      </c>
      <c r="G71" s="2">
        <f t="shared" si="2"/>
        <v>5</v>
      </c>
      <c r="H71" s="2">
        <f t="shared" si="5"/>
        <v>2</v>
      </c>
      <c r="I71" s="2">
        <f t="shared" si="6"/>
        <v>0</v>
      </c>
      <c r="Q71" s="26"/>
      <c r="R71" s="26"/>
      <c r="S71" s="26"/>
      <c r="U71" s="26"/>
      <c r="V71" s="26"/>
      <c r="W71" s="26"/>
      <c r="Y71" s="26"/>
      <c r="Z71" s="26"/>
      <c r="AA71" s="26"/>
    </row>
    <row r="72" ht="15.75" customHeight="1">
      <c r="A72" s="2">
        <f t="shared" si="7"/>
        <v>71</v>
      </c>
      <c r="B72" s="19">
        <v>5.0</v>
      </c>
      <c r="C72" s="2">
        <f t="shared" si="3"/>
        <v>385</v>
      </c>
      <c r="D72" s="9">
        <v>6.0</v>
      </c>
      <c r="E72" s="2">
        <f t="shared" si="4"/>
        <v>385</v>
      </c>
      <c r="F72" s="2">
        <f t="shared" si="1"/>
        <v>391</v>
      </c>
      <c r="G72" s="2">
        <f t="shared" si="2"/>
        <v>6</v>
      </c>
      <c r="H72" s="2">
        <f t="shared" si="5"/>
        <v>0</v>
      </c>
      <c r="I72" s="2">
        <f t="shared" si="6"/>
        <v>0</v>
      </c>
      <c r="Q72" s="26"/>
      <c r="R72" s="26"/>
      <c r="S72" s="26"/>
      <c r="U72" s="26"/>
      <c r="V72" s="26"/>
      <c r="W72" s="26"/>
      <c r="Y72" s="26"/>
      <c r="Z72" s="26"/>
      <c r="AA72" s="26"/>
    </row>
    <row r="73" ht="15.75" customHeight="1">
      <c r="A73" s="2">
        <f t="shared" si="7"/>
        <v>72</v>
      </c>
      <c r="B73" s="19">
        <v>9.0</v>
      </c>
      <c r="C73" s="2">
        <f t="shared" si="3"/>
        <v>394</v>
      </c>
      <c r="D73" s="9">
        <v>3.0</v>
      </c>
      <c r="E73" s="2">
        <f t="shared" si="4"/>
        <v>394</v>
      </c>
      <c r="F73" s="2">
        <f t="shared" si="1"/>
        <v>397</v>
      </c>
      <c r="G73" s="2">
        <f t="shared" si="2"/>
        <v>3</v>
      </c>
      <c r="H73" s="2">
        <f t="shared" si="5"/>
        <v>3</v>
      </c>
      <c r="I73" s="2">
        <f t="shared" si="6"/>
        <v>0</v>
      </c>
      <c r="Q73" s="26"/>
      <c r="R73" s="26"/>
      <c r="S73" s="26"/>
      <c r="U73" s="26"/>
      <c r="V73" s="26"/>
      <c r="W73" s="26"/>
      <c r="Y73" s="26"/>
      <c r="Z73" s="26"/>
      <c r="AA73" s="26"/>
    </row>
    <row r="74" ht="15.75" customHeight="1">
      <c r="A74" s="2">
        <f t="shared" si="7"/>
        <v>73</v>
      </c>
      <c r="B74" s="19">
        <v>7.0</v>
      </c>
      <c r="C74" s="2">
        <f t="shared" si="3"/>
        <v>401</v>
      </c>
      <c r="D74" s="9">
        <v>2.0</v>
      </c>
      <c r="E74" s="2">
        <f t="shared" si="4"/>
        <v>401</v>
      </c>
      <c r="F74" s="2">
        <f t="shared" si="1"/>
        <v>403</v>
      </c>
      <c r="G74" s="2">
        <f t="shared" si="2"/>
        <v>2</v>
      </c>
      <c r="H74" s="2">
        <f t="shared" si="5"/>
        <v>4</v>
      </c>
      <c r="I74" s="2">
        <f t="shared" si="6"/>
        <v>0</v>
      </c>
      <c r="Q74" s="26"/>
      <c r="R74" s="26"/>
      <c r="S74" s="26"/>
      <c r="U74" s="26"/>
      <c r="V74" s="26"/>
      <c r="W74" s="26"/>
      <c r="Y74" s="26"/>
      <c r="Z74" s="26"/>
      <c r="AA74" s="26"/>
    </row>
    <row r="75" ht="15.75" customHeight="1">
      <c r="A75" s="2">
        <f t="shared" si="7"/>
        <v>74</v>
      </c>
      <c r="B75" s="19">
        <v>10.0</v>
      </c>
      <c r="C75" s="2">
        <f t="shared" si="3"/>
        <v>411</v>
      </c>
      <c r="D75" s="9">
        <v>4.0</v>
      </c>
      <c r="E75" s="2">
        <f t="shared" si="4"/>
        <v>411</v>
      </c>
      <c r="F75" s="2">
        <f t="shared" si="1"/>
        <v>415</v>
      </c>
      <c r="G75" s="2">
        <f t="shared" si="2"/>
        <v>4</v>
      </c>
      <c r="H75" s="2">
        <f t="shared" si="5"/>
        <v>8</v>
      </c>
      <c r="I75" s="2">
        <f t="shared" si="6"/>
        <v>0</v>
      </c>
      <c r="Q75" s="26"/>
      <c r="R75" s="26"/>
      <c r="S75" s="26"/>
      <c r="U75" s="26"/>
      <c r="V75" s="26"/>
      <c r="W75" s="26"/>
      <c r="Y75" s="26"/>
      <c r="Z75" s="26"/>
      <c r="AA75" s="26"/>
    </row>
    <row r="76" ht="15.75" customHeight="1">
      <c r="A76" s="2">
        <f t="shared" si="7"/>
        <v>75</v>
      </c>
      <c r="B76" s="19">
        <v>1.0</v>
      </c>
      <c r="C76" s="2">
        <f t="shared" si="3"/>
        <v>412</v>
      </c>
      <c r="D76" s="9">
        <v>1.0</v>
      </c>
      <c r="E76" s="2">
        <f t="shared" si="4"/>
        <v>415</v>
      </c>
      <c r="F76" s="2">
        <f t="shared" si="1"/>
        <v>416</v>
      </c>
      <c r="G76" s="2">
        <f t="shared" si="2"/>
        <v>4</v>
      </c>
      <c r="H76" s="2">
        <f t="shared" si="5"/>
        <v>0</v>
      </c>
      <c r="I76" s="2">
        <f t="shared" si="6"/>
        <v>3</v>
      </c>
      <c r="Q76" s="26"/>
      <c r="R76" s="26"/>
      <c r="S76" s="26"/>
      <c r="U76" s="26"/>
      <c r="V76" s="26"/>
      <c r="W76" s="26"/>
      <c r="Y76" s="26"/>
      <c r="Z76" s="26"/>
      <c r="AA76" s="26"/>
    </row>
    <row r="77" ht="15.75" customHeight="1">
      <c r="A77" s="2">
        <f t="shared" si="7"/>
        <v>76</v>
      </c>
      <c r="B77" s="19">
        <v>6.0</v>
      </c>
      <c r="C77" s="2">
        <f t="shared" si="3"/>
        <v>418</v>
      </c>
      <c r="D77" s="9">
        <v>5.0</v>
      </c>
      <c r="E77" s="2">
        <f t="shared" si="4"/>
        <v>418</v>
      </c>
      <c r="F77" s="2">
        <f t="shared" si="1"/>
        <v>423</v>
      </c>
      <c r="G77" s="2">
        <f t="shared" si="2"/>
        <v>5</v>
      </c>
      <c r="H77" s="2">
        <f t="shared" si="5"/>
        <v>2</v>
      </c>
      <c r="I77" s="2">
        <f t="shared" si="6"/>
        <v>0</v>
      </c>
      <c r="Q77" s="26"/>
      <c r="R77" s="26"/>
      <c r="S77" s="26"/>
      <c r="U77" s="26"/>
      <c r="V77" s="26"/>
      <c r="W77" s="26"/>
      <c r="Y77" s="26"/>
      <c r="Z77" s="26"/>
      <c r="AA77" s="26"/>
    </row>
    <row r="78" ht="15.75" customHeight="1">
      <c r="A78" s="2">
        <f t="shared" si="7"/>
        <v>77</v>
      </c>
      <c r="B78" s="19">
        <v>2.0</v>
      </c>
      <c r="C78" s="2">
        <f t="shared" si="3"/>
        <v>420</v>
      </c>
      <c r="D78" s="9">
        <v>3.0</v>
      </c>
      <c r="E78" s="2">
        <f t="shared" si="4"/>
        <v>423</v>
      </c>
      <c r="F78" s="2">
        <f t="shared" si="1"/>
        <v>426</v>
      </c>
      <c r="G78" s="2">
        <f t="shared" si="2"/>
        <v>6</v>
      </c>
      <c r="H78" s="2">
        <f t="shared" si="5"/>
        <v>0</v>
      </c>
      <c r="I78" s="2">
        <f t="shared" si="6"/>
        <v>3</v>
      </c>
      <c r="Q78" s="26"/>
      <c r="R78" s="26"/>
      <c r="S78" s="26"/>
      <c r="U78" s="26"/>
      <c r="V78" s="26"/>
      <c r="W78" s="26"/>
      <c r="Y78" s="26"/>
      <c r="Z78" s="26"/>
      <c r="AA78" s="26"/>
    </row>
    <row r="79" ht="15.75" customHeight="1">
      <c r="A79" s="2">
        <f t="shared" si="7"/>
        <v>78</v>
      </c>
      <c r="B79" s="19">
        <v>8.0</v>
      </c>
      <c r="C79" s="2">
        <f t="shared" si="3"/>
        <v>428</v>
      </c>
      <c r="D79" s="9">
        <v>6.0</v>
      </c>
      <c r="E79" s="2">
        <f t="shared" si="4"/>
        <v>428</v>
      </c>
      <c r="F79" s="2">
        <f t="shared" si="1"/>
        <v>434</v>
      </c>
      <c r="G79" s="2">
        <f t="shared" si="2"/>
        <v>6</v>
      </c>
      <c r="H79" s="2">
        <f t="shared" si="5"/>
        <v>2</v>
      </c>
      <c r="I79" s="2">
        <f t="shared" si="6"/>
        <v>0</v>
      </c>
      <c r="Q79" s="26"/>
      <c r="R79" s="26"/>
      <c r="S79" s="26"/>
      <c r="U79" s="26"/>
      <c r="V79" s="26"/>
      <c r="W79" s="26"/>
      <c r="Y79" s="26"/>
      <c r="Z79" s="26"/>
      <c r="AA79" s="26"/>
    </row>
    <row r="80" ht="15.75" customHeight="1">
      <c r="A80" s="2">
        <f t="shared" si="7"/>
        <v>79</v>
      </c>
      <c r="B80" s="19">
        <v>4.0</v>
      </c>
      <c r="C80" s="2">
        <f t="shared" si="3"/>
        <v>432</v>
      </c>
      <c r="D80" s="9">
        <v>2.0</v>
      </c>
      <c r="E80" s="2">
        <f t="shared" si="4"/>
        <v>434</v>
      </c>
      <c r="F80" s="2">
        <f t="shared" si="1"/>
        <v>436</v>
      </c>
      <c r="G80" s="2">
        <f t="shared" si="2"/>
        <v>4</v>
      </c>
      <c r="H80" s="2">
        <f t="shared" si="5"/>
        <v>0</v>
      </c>
      <c r="I80" s="2">
        <f t="shared" si="6"/>
        <v>2</v>
      </c>
      <c r="Q80" s="26"/>
      <c r="R80" s="26"/>
      <c r="S80" s="26"/>
      <c r="U80" s="26"/>
      <c r="V80" s="26"/>
      <c r="W80" s="26"/>
      <c r="Y80" s="26"/>
      <c r="Z80" s="26"/>
      <c r="AA80" s="26"/>
    </row>
    <row r="81" ht="15.75" customHeight="1">
      <c r="A81" s="2">
        <f t="shared" si="7"/>
        <v>80</v>
      </c>
      <c r="B81" s="19">
        <v>3.0</v>
      </c>
      <c r="C81" s="2">
        <f t="shared" si="3"/>
        <v>435</v>
      </c>
      <c r="D81" s="9">
        <v>1.0</v>
      </c>
      <c r="E81" s="2">
        <f t="shared" si="4"/>
        <v>436</v>
      </c>
      <c r="F81" s="2">
        <f t="shared" si="1"/>
        <v>437</v>
      </c>
      <c r="G81" s="2">
        <f t="shared" si="2"/>
        <v>2</v>
      </c>
      <c r="H81" s="2">
        <f t="shared" si="5"/>
        <v>0</v>
      </c>
      <c r="I81" s="2">
        <f t="shared" si="6"/>
        <v>1</v>
      </c>
      <c r="Q81" s="26"/>
      <c r="R81" s="26"/>
      <c r="S81" s="26"/>
      <c r="U81" s="26"/>
      <c r="V81" s="26"/>
      <c r="W81" s="26"/>
      <c r="Y81" s="26"/>
      <c r="Z81" s="26"/>
      <c r="AA81" s="26"/>
    </row>
    <row r="82" ht="15.75" customHeight="1">
      <c r="A82" s="2">
        <f t="shared" si="7"/>
        <v>81</v>
      </c>
      <c r="B82" s="19">
        <v>5.0</v>
      </c>
      <c r="C82" s="2">
        <f t="shared" si="3"/>
        <v>440</v>
      </c>
      <c r="D82" s="9">
        <v>5.0</v>
      </c>
      <c r="E82" s="2">
        <f t="shared" si="4"/>
        <v>440</v>
      </c>
      <c r="F82" s="2">
        <f t="shared" si="1"/>
        <v>445</v>
      </c>
      <c r="G82" s="2">
        <f t="shared" si="2"/>
        <v>5</v>
      </c>
      <c r="H82" s="2">
        <f t="shared" si="5"/>
        <v>3</v>
      </c>
      <c r="I82" s="2">
        <f t="shared" si="6"/>
        <v>0</v>
      </c>
      <c r="Q82" s="26"/>
      <c r="R82" s="26"/>
      <c r="S82" s="26"/>
      <c r="U82" s="26"/>
      <c r="V82" s="26"/>
      <c r="W82" s="26"/>
      <c r="Y82" s="26"/>
      <c r="Z82" s="26"/>
      <c r="AA82" s="26"/>
    </row>
    <row r="83" ht="15.75" customHeight="1">
      <c r="A83" s="2">
        <f t="shared" si="7"/>
        <v>82</v>
      </c>
      <c r="B83" s="19">
        <v>9.0</v>
      </c>
      <c r="C83" s="2">
        <f t="shared" si="3"/>
        <v>449</v>
      </c>
      <c r="D83" s="9">
        <v>4.0</v>
      </c>
      <c r="E83" s="2">
        <f t="shared" si="4"/>
        <v>449</v>
      </c>
      <c r="F83" s="2">
        <f t="shared" si="1"/>
        <v>453</v>
      </c>
      <c r="G83" s="2">
        <f t="shared" si="2"/>
        <v>4</v>
      </c>
      <c r="H83" s="2">
        <f t="shared" si="5"/>
        <v>4</v>
      </c>
      <c r="I83" s="2">
        <f t="shared" si="6"/>
        <v>0</v>
      </c>
      <c r="Q83" s="26"/>
      <c r="R83" s="26"/>
      <c r="S83" s="26"/>
      <c r="U83" s="26"/>
      <c r="V83" s="26"/>
      <c r="W83" s="26"/>
      <c r="Y83" s="26"/>
      <c r="Z83" s="26"/>
      <c r="AA83" s="26"/>
    </row>
    <row r="84" ht="15.75" customHeight="1">
      <c r="A84" s="2">
        <f t="shared" si="7"/>
        <v>83</v>
      </c>
      <c r="B84" s="19">
        <v>7.0</v>
      </c>
      <c r="C84" s="2">
        <f t="shared" si="3"/>
        <v>456</v>
      </c>
      <c r="D84" s="9">
        <v>6.0</v>
      </c>
      <c r="E84" s="2">
        <f t="shared" si="4"/>
        <v>456</v>
      </c>
      <c r="F84" s="2">
        <f t="shared" si="1"/>
        <v>462</v>
      </c>
      <c r="G84" s="2">
        <f t="shared" si="2"/>
        <v>6</v>
      </c>
      <c r="H84" s="2">
        <f t="shared" si="5"/>
        <v>3</v>
      </c>
      <c r="I84" s="2">
        <f t="shared" si="6"/>
        <v>0</v>
      </c>
      <c r="Q84" s="26"/>
      <c r="R84" s="26"/>
      <c r="S84" s="26"/>
      <c r="U84" s="26"/>
      <c r="V84" s="26"/>
      <c r="W84" s="26"/>
      <c r="Y84" s="26"/>
      <c r="Z84" s="26"/>
      <c r="AA84" s="26"/>
    </row>
    <row r="85" ht="15.75" customHeight="1">
      <c r="A85" s="2">
        <f t="shared" si="7"/>
        <v>84</v>
      </c>
      <c r="B85" s="19">
        <v>10.0</v>
      </c>
      <c r="C85" s="2">
        <f t="shared" si="3"/>
        <v>466</v>
      </c>
      <c r="D85" s="9">
        <v>2.0</v>
      </c>
      <c r="E85" s="2">
        <f t="shared" si="4"/>
        <v>466</v>
      </c>
      <c r="F85" s="2">
        <f t="shared" si="1"/>
        <v>468</v>
      </c>
      <c r="G85" s="2">
        <f t="shared" si="2"/>
        <v>2</v>
      </c>
      <c r="H85" s="2">
        <f t="shared" si="5"/>
        <v>4</v>
      </c>
      <c r="I85" s="2">
        <f t="shared" si="6"/>
        <v>0</v>
      </c>
      <c r="Q85" s="26"/>
      <c r="R85" s="26"/>
      <c r="S85" s="26"/>
      <c r="U85" s="26"/>
      <c r="V85" s="26"/>
      <c r="W85" s="26"/>
      <c r="Y85" s="26"/>
      <c r="Z85" s="26"/>
      <c r="AA85" s="26"/>
    </row>
    <row r="86" ht="15.75" customHeight="1">
      <c r="A86" s="2">
        <f t="shared" si="7"/>
        <v>85</v>
      </c>
      <c r="B86" s="19">
        <v>1.0</v>
      </c>
      <c r="C86" s="2">
        <f t="shared" si="3"/>
        <v>467</v>
      </c>
      <c r="D86" s="9">
        <v>3.0</v>
      </c>
      <c r="E86" s="2">
        <f t="shared" si="4"/>
        <v>468</v>
      </c>
      <c r="F86" s="2">
        <f t="shared" si="1"/>
        <v>471</v>
      </c>
      <c r="G86" s="2">
        <f t="shared" si="2"/>
        <v>4</v>
      </c>
      <c r="H86" s="2">
        <f t="shared" si="5"/>
        <v>0</v>
      </c>
      <c r="I86" s="2">
        <f t="shared" si="6"/>
        <v>1</v>
      </c>
      <c r="Q86" s="26"/>
      <c r="R86" s="26"/>
      <c r="S86" s="26"/>
      <c r="U86" s="26"/>
      <c r="V86" s="26"/>
      <c r="W86" s="26"/>
      <c r="Y86" s="26"/>
      <c r="Z86" s="26"/>
      <c r="AA86" s="26"/>
    </row>
    <row r="87" ht="15.75" customHeight="1">
      <c r="A87" s="2">
        <f t="shared" si="7"/>
        <v>86</v>
      </c>
      <c r="B87" s="19">
        <v>6.0</v>
      </c>
      <c r="C87" s="2">
        <f t="shared" si="3"/>
        <v>473</v>
      </c>
      <c r="D87" s="9">
        <v>4.0</v>
      </c>
      <c r="E87" s="2">
        <f t="shared" si="4"/>
        <v>473</v>
      </c>
      <c r="F87" s="2">
        <f t="shared" si="1"/>
        <v>477</v>
      </c>
      <c r="G87" s="2">
        <f t="shared" si="2"/>
        <v>4</v>
      </c>
      <c r="H87" s="2">
        <f t="shared" si="5"/>
        <v>2</v>
      </c>
      <c r="I87" s="2">
        <f t="shared" si="6"/>
        <v>0</v>
      </c>
      <c r="Q87" s="26"/>
      <c r="R87" s="26"/>
      <c r="S87" s="26"/>
      <c r="U87" s="26"/>
      <c r="V87" s="26"/>
      <c r="W87" s="26"/>
      <c r="Y87" s="26"/>
      <c r="Z87" s="26"/>
      <c r="AA87" s="26"/>
    </row>
    <row r="88" ht="15.75" customHeight="1">
      <c r="A88" s="2">
        <f t="shared" si="7"/>
        <v>87</v>
      </c>
      <c r="B88" s="19">
        <v>2.0</v>
      </c>
      <c r="C88" s="2">
        <f t="shared" si="3"/>
        <v>475</v>
      </c>
      <c r="D88" s="9">
        <v>5.0</v>
      </c>
      <c r="E88" s="2">
        <f t="shared" si="4"/>
        <v>477</v>
      </c>
      <c r="F88" s="2">
        <f t="shared" si="1"/>
        <v>482</v>
      </c>
      <c r="G88" s="2">
        <f t="shared" si="2"/>
        <v>7</v>
      </c>
      <c r="H88" s="2">
        <f t="shared" si="5"/>
        <v>0</v>
      </c>
      <c r="I88" s="2">
        <f t="shared" si="6"/>
        <v>2</v>
      </c>
      <c r="Q88" s="26"/>
      <c r="R88" s="26"/>
      <c r="S88" s="26"/>
      <c r="U88" s="26"/>
      <c r="V88" s="26"/>
      <c r="W88" s="26"/>
      <c r="Y88" s="26"/>
      <c r="Z88" s="26"/>
      <c r="AA88" s="26"/>
    </row>
    <row r="89" ht="15.75" customHeight="1">
      <c r="A89" s="2">
        <f t="shared" si="7"/>
        <v>88</v>
      </c>
      <c r="B89" s="19">
        <v>8.0</v>
      </c>
      <c r="C89" s="2">
        <f t="shared" si="3"/>
        <v>483</v>
      </c>
      <c r="D89" s="9">
        <v>1.0</v>
      </c>
      <c r="E89" s="2">
        <f t="shared" si="4"/>
        <v>483</v>
      </c>
      <c r="F89" s="2">
        <f t="shared" si="1"/>
        <v>484</v>
      </c>
      <c r="G89" s="2">
        <f t="shared" si="2"/>
        <v>1</v>
      </c>
      <c r="H89" s="2">
        <f t="shared" si="5"/>
        <v>1</v>
      </c>
      <c r="I89" s="2">
        <f t="shared" si="6"/>
        <v>0</v>
      </c>
      <c r="Q89" s="26"/>
      <c r="R89" s="26"/>
      <c r="S89" s="26"/>
      <c r="U89" s="26"/>
      <c r="V89" s="26"/>
      <c r="W89" s="26"/>
      <c r="Y89" s="26"/>
      <c r="Z89" s="26"/>
      <c r="AA89" s="26"/>
    </row>
    <row r="90" ht="15.75" customHeight="1">
      <c r="A90" s="2">
        <f t="shared" si="7"/>
        <v>89</v>
      </c>
      <c r="B90" s="19">
        <v>4.0</v>
      </c>
      <c r="C90" s="2">
        <f t="shared" si="3"/>
        <v>487</v>
      </c>
      <c r="D90" s="9">
        <v>6.0</v>
      </c>
      <c r="E90" s="2">
        <f t="shared" si="4"/>
        <v>487</v>
      </c>
      <c r="F90" s="2">
        <f t="shared" si="1"/>
        <v>493</v>
      </c>
      <c r="G90" s="2">
        <f t="shared" si="2"/>
        <v>6</v>
      </c>
      <c r="H90" s="2">
        <f t="shared" si="5"/>
        <v>3</v>
      </c>
      <c r="I90" s="2">
        <f t="shared" si="6"/>
        <v>0</v>
      </c>
      <c r="Q90" s="26"/>
      <c r="R90" s="26"/>
      <c r="S90" s="26"/>
      <c r="U90" s="26"/>
      <c r="V90" s="26"/>
      <c r="W90" s="26"/>
      <c r="Y90" s="26"/>
      <c r="Z90" s="26"/>
      <c r="AA90" s="26"/>
    </row>
    <row r="91" ht="15.75" customHeight="1">
      <c r="A91" s="2">
        <f t="shared" si="7"/>
        <v>90</v>
      </c>
      <c r="B91" s="19">
        <v>3.0</v>
      </c>
      <c r="C91" s="2">
        <f t="shared" si="3"/>
        <v>490</v>
      </c>
      <c r="D91" s="9">
        <v>2.0</v>
      </c>
      <c r="E91" s="2">
        <f t="shared" si="4"/>
        <v>493</v>
      </c>
      <c r="F91" s="2">
        <f t="shared" si="1"/>
        <v>495</v>
      </c>
      <c r="G91" s="2">
        <f t="shared" si="2"/>
        <v>5</v>
      </c>
      <c r="H91" s="2">
        <f t="shared" si="5"/>
        <v>0</v>
      </c>
      <c r="I91" s="2">
        <f t="shared" si="6"/>
        <v>3</v>
      </c>
      <c r="Q91" s="26"/>
      <c r="R91" s="26"/>
      <c r="S91" s="26"/>
      <c r="U91" s="26"/>
      <c r="V91" s="26"/>
      <c r="W91" s="26"/>
      <c r="Y91" s="26"/>
      <c r="Z91" s="26"/>
      <c r="AA91" s="26"/>
    </row>
    <row r="92" ht="15.75" customHeight="1">
      <c r="A92" s="2">
        <f t="shared" si="7"/>
        <v>91</v>
      </c>
      <c r="B92" s="19">
        <v>5.0</v>
      </c>
      <c r="C92" s="2">
        <f t="shared" si="3"/>
        <v>495</v>
      </c>
      <c r="D92" s="9">
        <v>4.0</v>
      </c>
      <c r="E92" s="2">
        <f t="shared" si="4"/>
        <v>495</v>
      </c>
      <c r="F92" s="2">
        <f t="shared" si="1"/>
        <v>499</v>
      </c>
      <c r="G92" s="2">
        <f t="shared" si="2"/>
        <v>4</v>
      </c>
      <c r="H92" s="2">
        <f t="shared" si="5"/>
        <v>0</v>
      </c>
      <c r="I92" s="2">
        <f t="shared" si="6"/>
        <v>0</v>
      </c>
      <c r="Q92" s="26"/>
      <c r="R92" s="26"/>
      <c r="S92" s="26"/>
      <c r="U92" s="26"/>
      <c r="V92" s="26"/>
      <c r="W92" s="26"/>
      <c r="Y92" s="26"/>
      <c r="Z92" s="26"/>
      <c r="AA92" s="26"/>
    </row>
    <row r="93" ht="15.75" customHeight="1">
      <c r="A93" s="2">
        <f t="shared" si="7"/>
        <v>92</v>
      </c>
      <c r="B93" s="19">
        <v>9.0</v>
      </c>
      <c r="C93" s="2">
        <f t="shared" si="3"/>
        <v>504</v>
      </c>
      <c r="D93" s="9">
        <v>1.0</v>
      </c>
      <c r="E93" s="2">
        <f t="shared" si="4"/>
        <v>504</v>
      </c>
      <c r="F93" s="2">
        <f t="shared" si="1"/>
        <v>505</v>
      </c>
      <c r="G93" s="2">
        <f t="shared" si="2"/>
        <v>1</v>
      </c>
      <c r="H93" s="2">
        <f t="shared" si="5"/>
        <v>5</v>
      </c>
      <c r="I93" s="2">
        <f t="shared" si="6"/>
        <v>0</v>
      </c>
      <c r="Q93" s="26"/>
      <c r="R93" s="26"/>
      <c r="S93" s="26"/>
      <c r="U93" s="26"/>
      <c r="V93" s="26"/>
      <c r="W93" s="26"/>
      <c r="Y93" s="26"/>
      <c r="Z93" s="26"/>
      <c r="AA93" s="26"/>
    </row>
    <row r="94" ht="15.75" customHeight="1">
      <c r="A94" s="2">
        <f t="shared" si="7"/>
        <v>93</v>
      </c>
      <c r="B94" s="19">
        <v>7.0</v>
      </c>
      <c r="C94" s="2">
        <f t="shared" si="3"/>
        <v>511</v>
      </c>
      <c r="D94" s="9">
        <v>5.0</v>
      </c>
      <c r="E94" s="2">
        <f t="shared" si="4"/>
        <v>511</v>
      </c>
      <c r="F94" s="2">
        <f t="shared" si="1"/>
        <v>516</v>
      </c>
      <c r="G94" s="2">
        <f t="shared" si="2"/>
        <v>5</v>
      </c>
      <c r="H94" s="2">
        <f t="shared" si="5"/>
        <v>6</v>
      </c>
      <c r="I94" s="2">
        <f t="shared" si="6"/>
        <v>0</v>
      </c>
      <c r="Q94" s="26"/>
      <c r="R94" s="26"/>
      <c r="S94" s="26"/>
      <c r="U94" s="26"/>
      <c r="V94" s="26"/>
      <c r="W94" s="26"/>
      <c r="Y94" s="26"/>
      <c r="Z94" s="26"/>
      <c r="AA94" s="26"/>
    </row>
    <row r="95" ht="15.75" customHeight="1">
      <c r="A95" s="2">
        <f t="shared" si="7"/>
        <v>94</v>
      </c>
      <c r="B95" s="19">
        <v>10.0</v>
      </c>
      <c r="C95" s="2">
        <f t="shared" si="3"/>
        <v>521</v>
      </c>
      <c r="D95" s="9">
        <v>3.0</v>
      </c>
      <c r="E95" s="2">
        <f t="shared" si="4"/>
        <v>521</v>
      </c>
      <c r="F95" s="2">
        <f t="shared" si="1"/>
        <v>524</v>
      </c>
      <c r="G95" s="2">
        <f t="shared" si="2"/>
        <v>3</v>
      </c>
      <c r="H95" s="2">
        <f t="shared" si="5"/>
        <v>5</v>
      </c>
      <c r="I95" s="2">
        <f t="shared" si="6"/>
        <v>0</v>
      </c>
      <c r="Q95" s="26"/>
      <c r="R95" s="26"/>
      <c r="S95" s="26"/>
      <c r="U95" s="26"/>
      <c r="V95" s="26"/>
      <c r="W95" s="26"/>
      <c r="Y95" s="26"/>
      <c r="Z95" s="26"/>
      <c r="AA95" s="26"/>
    </row>
    <row r="96" ht="15.75" customHeight="1">
      <c r="A96" s="2">
        <f t="shared" si="7"/>
        <v>95</v>
      </c>
      <c r="B96" s="19">
        <v>1.0</v>
      </c>
      <c r="C96" s="2">
        <f t="shared" si="3"/>
        <v>522</v>
      </c>
      <c r="D96" s="9">
        <v>6.0</v>
      </c>
      <c r="E96" s="2">
        <f t="shared" si="4"/>
        <v>524</v>
      </c>
      <c r="F96" s="2">
        <f t="shared" si="1"/>
        <v>530</v>
      </c>
      <c r="G96" s="2">
        <f t="shared" si="2"/>
        <v>8</v>
      </c>
      <c r="H96" s="2">
        <f t="shared" si="5"/>
        <v>0</v>
      </c>
      <c r="I96" s="2">
        <f t="shared" si="6"/>
        <v>2</v>
      </c>
      <c r="Q96" s="26"/>
      <c r="R96" s="26"/>
      <c r="S96" s="26"/>
      <c r="U96" s="26"/>
      <c r="V96" s="26"/>
      <c r="W96" s="26"/>
      <c r="Y96" s="26"/>
      <c r="Z96" s="26"/>
      <c r="AA96" s="26"/>
    </row>
    <row r="97" ht="15.75" customHeight="1">
      <c r="A97" s="2">
        <f t="shared" si="7"/>
        <v>96</v>
      </c>
      <c r="B97" s="19">
        <v>6.0</v>
      </c>
      <c r="C97" s="2">
        <f t="shared" si="3"/>
        <v>528</v>
      </c>
      <c r="D97" s="9">
        <v>5.0</v>
      </c>
      <c r="E97" s="2">
        <f t="shared" si="4"/>
        <v>530</v>
      </c>
      <c r="F97" s="2">
        <f t="shared" si="1"/>
        <v>535</v>
      </c>
      <c r="G97" s="2">
        <f t="shared" si="2"/>
        <v>7</v>
      </c>
      <c r="H97" s="2">
        <f t="shared" si="5"/>
        <v>0</v>
      </c>
      <c r="I97" s="2">
        <f t="shared" si="6"/>
        <v>2</v>
      </c>
      <c r="Q97" s="26"/>
      <c r="R97" s="26"/>
      <c r="S97" s="26"/>
      <c r="U97" s="26"/>
      <c r="V97" s="26"/>
      <c r="W97" s="26"/>
      <c r="Y97" s="26"/>
      <c r="Z97" s="26"/>
      <c r="AA97" s="26"/>
    </row>
    <row r="98" ht="15.75" customHeight="1">
      <c r="A98" s="2">
        <f t="shared" si="7"/>
        <v>97</v>
      </c>
      <c r="B98" s="19">
        <v>2.0</v>
      </c>
      <c r="C98" s="2">
        <f t="shared" si="3"/>
        <v>530</v>
      </c>
      <c r="D98" s="9">
        <v>2.0</v>
      </c>
      <c r="E98" s="2">
        <f t="shared" si="4"/>
        <v>535</v>
      </c>
      <c r="F98" s="2">
        <f t="shared" si="1"/>
        <v>537</v>
      </c>
      <c r="G98" s="2">
        <f t="shared" si="2"/>
        <v>7</v>
      </c>
      <c r="H98" s="2">
        <f t="shared" si="5"/>
        <v>0</v>
      </c>
      <c r="I98" s="2">
        <f t="shared" si="6"/>
        <v>5</v>
      </c>
      <c r="Q98" s="26"/>
      <c r="R98" s="26"/>
      <c r="S98" s="26"/>
      <c r="U98" s="26"/>
      <c r="V98" s="26"/>
      <c r="W98" s="26"/>
      <c r="Y98" s="26"/>
      <c r="Z98" s="26"/>
      <c r="AA98" s="26"/>
    </row>
    <row r="99" ht="15.75" customHeight="1">
      <c r="A99" s="2">
        <f t="shared" si="7"/>
        <v>98</v>
      </c>
      <c r="B99" s="19">
        <v>8.0</v>
      </c>
      <c r="C99" s="2">
        <f t="shared" si="3"/>
        <v>538</v>
      </c>
      <c r="D99" s="9">
        <v>4.0</v>
      </c>
      <c r="E99" s="2">
        <f t="shared" si="4"/>
        <v>538</v>
      </c>
      <c r="F99" s="2">
        <f t="shared" si="1"/>
        <v>542</v>
      </c>
      <c r="G99" s="2">
        <f t="shared" si="2"/>
        <v>4</v>
      </c>
      <c r="H99" s="2">
        <f t="shared" si="5"/>
        <v>1</v>
      </c>
      <c r="I99" s="2">
        <f t="shared" si="6"/>
        <v>0</v>
      </c>
      <c r="Q99" s="26"/>
      <c r="R99" s="26"/>
      <c r="S99" s="26"/>
      <c r="U99" s="26"/>
      <c r="V99" s="26"/>
      <c r="W99" s="26"/>
      <c r="Y99" s="26"/>
      <c r="Z99" s="26"/>
      <c r="AA99" s="26"/>
    </row>
    <row r="100" ht="15.75" customHeight="1">
      <c r="A100" s="2">
        <f t="shared" si="7"/>
        <v>99</v>
      </c>
      <c r="B100" s="19">
        <v>4.0</v>
      </c>
      <c r="C100" s="2">
        <f t="shared" si="3"/>
        <v>542</v>
      </c>
      <c r="D100" s="9">
        <v>1.0</v>
      </c>
      <c r="E100" s="2">
        <f t="shared" si="4"/>
        <v>542</v>
      </c>
      <c r="F100" s="2">
        <f t="shared" si="1"/>
        <v>543</v>
      </c>
      <c r="G100" s="2">
        <f t="shared" si="2"/>
        <v>1</v>
      </c>
      <c r="H100" s="2">
        <f t="shared" si="5"/>
        <v>0</v>
      </c>
      <c r="I100" s="2">
        <f t="shared" si="6"/>
        <v>0</v>
      </c>
      <c r="Q100" s="26"/>
      <c r="R100" s="26"/>
      <c r="S100" s="26"/>
      <c r="U100" s="26"/>
      <c r="V100" s="26"/>
      <c r="W100" s="26"/>
      <c r="Y100" s="26"/>
      <c r="Z100" s="26"/>
      <c r="AA100" s="26"/>
    </row>
    <row r="101" ht="15.75" customHeight="1">
      <c r="A101" s="2">
        <f t="shared" si="7"/>
        <v>100</v>
      </c>
      <c r="B101" s="19">
        <v>3.0</v>
      </c>
      <c r="C101" s="2">
        <f t="shared" si="3"/>
        <v>545</v>
      </c>
      <c r="D101" s="9">
        <v>6.0</v>
      </c>
      <c r="E101" s="2">
        <f t="shared" si="4"/>
        <v>545</v>
      </c>
      <c r="F101" s="2">
        <f t="shared" si="1"/>
        <v>551</v>
      </c>
      <c r="G101" s="2">
        <f t="shared" si="2"/>
        <v>6</v>
      </c>
      <c r="H101" s="2">
        <f t="shared" si="5"/>
        <v>2</v>
      </c>
      <c r="I101" s="2">
        <f t="shared" si="6"/>
        <v>0</v>
      </c>
      <c r="Q101" s="26"/>
      <c r="R101" s="26"/>
      <c r="S101" s="26"/>
      <c r="U101" s="26"/>
      <c r="V101" s="26"/>
      <c r="W101" s="26"/>
      <c r="Y101" s="26"/>
      <c r="Z101" s="26"/>
      <c r="AA101" s="26"/>
    </row>
    <row r="102" ht="15.75" customHeight="1">
      <c r="A102" s="2">
        <f t="shared" si="7"/>
        <v>101</v>
      </c>
      <c r="B102" s="19">
        <v>5.0</v>
      </c>
      <c r="C102" s="2">
        <f t="shared" si="3"/>
        <v>550</v>
      </c>
      <c r="D102" s="9">
        <v>3.0</v>
      </c>
      <c r="E102" s="2">
        <f t="shared" si="4"/>
        <v>551</v>
      </c>
      <c r="F102" s="2">
        <f t="shared" si="1"/>
        <v>554</v>
      </c>
      <c r="G102" s="2">
        <f t="shared" si="2"/>
        <v>4</v>
      </c>
      <c r="H102" s="2">
        <f t="shared" si="5"/>
        <v>0</v>
      </c>
      <c r="I102" s="2">
        <f t="shared" si="6"/>
        <v>1</v>
      </c>
      <c r="Q102" s="26"/>
      <c r="R102" s="26"/>
      <c r="S102" s="26"/>
      <c r="U102" s="26"/>
      <c r="V102" s="26"/>
      <c r="W102" s="26"/>
      <c r="Y102" s="26"/>
      <c r="Z102" s="26"/>
      <c r="AA102" s="26"/>
    </row>
    <row r="103" ht="15.75" customHeight="1">
      <c r="A103" s="2">
        <f t="shared" si="7"/>
        <v>102</v>
      </c>
      <c r="B103" s="19">
        <v>9.0</v>
      </c>
      <c r="C103" s="2">
        <f t="shared" si="3"/>
        <v>559</v>
      </c>
      <c r="D103" s="9">
        <v>5.0</v>
      </c>
      <c r="E103" s="2">
        <f t="shared" si="4"/>
        <v>559</v>
      </c>
      <c r="F103" s="2">
        <f t="shared" si="1"/>
        <v>564</v>
      </c>
      <c r="G103" s="2">
        <f t="shared" si="2"/>
        <v>5</v>
      </c>
      <c r="H103" s="2">
        <f t="shared" si="5"/>
        <v>5</v>
      </c>
      <c r="I103" s="2">
        <f t="shared" si="6"/>
        <v>0</v>
      </c>
      <c r="Q103" s="26"/>
      <c r="R103" s="26"/>
      <c r="S103" s="26"/>
      <c r="U103" s="26"/>
      <c r="V103" s="26"/>
      <c r="W103" s="26"/>
      <c r="Y103" s="26"/>
      <c r="Z103" s="26"/>
      <c r="AA103" s="26"/>
    </row>
    <row r="104" ht="15.75" customHeight="1">
      <c r="A104" s="2">
        <f t="shared" si="7"/>
        <v>103</v>
      </c>
      <c r="B104" s="19">
        <v>7.0</v>
      </c>
      <c r="C104" s="2">
        <f t="shared" si="3"/>
        <v>566</v>
      </c>
      <c r="D104" s="9">
        <v>1.0</v>
      </c>
      <c r="E104" s="2">
        <f t="shared" si="4"/>
        <v>566</v>
      </c>
      <c r="F104" s="2">
        <f t="shared" si="1"/>
        <v>567</v>
      </c>
      <c r="G104" s="2">
        <f t="shared" si="2"/>
        <v>1</v>
      </c>
      <c r="H104" s="2">
        <f t="shared" si="5"/>
        <v>2</v>
      </c>
      <c r="I104" s="2">
        <f t="shared" si="6"/>
        <v>0</v>
      </c>
      <c r="Q104" s="26"/>
      <c r="R104" s="26"/>
      <c r="S104" s="26"/>
      <c r="U104" s="26"/>
      <c r="V104" s="26"/>
      <c r="W104" s="26"/>
      <c r="Y104" s="26"/>
      <c r="Z104" s="26"/>
      <c r="AA104" s="26"/>
    </row>
    <row r="105" ht="15.75" customHeight="1">
      <c r="A105" s="2">
        <f t="shared" si="7"/>
        <v>104</v>
      </c>
      <c r="B105" s="19">
        <v>10.0</v>
      </c>
      <c r="C105" s="2">
        <f t="shared" si="3"/>
        <v>576</v>
      </c>
      <c r="D105" s="9">
        <v>6.0</v>
      </c>
      <c r="E105" s="2">
        <f t="shared" si="4"/>
        <v>576</v>
      </c>
      <c r="F105" s="2">
        <f t="shared" si="1"/>
        <v>582</v>
      </c>
      <c r="G105" s="2">
        <f t="shared" si="2"/>
        <v>6</v>
      </c>
      <c r="H105" s="2">
        <f t="shared" si="5"/>
        <v>9</v>
      </c>
      <c r="I105" s="2">
        <f t="shared" si="6"/>
        <v>0</v>
      </c>
      <c r="Q105" s="26"/>
      <c r="R105" s="26"/>
      <c r="S105" s="26"/>
      <c r="U105" s="26"/>
      <c r="V105" s="26"/>
      <c r="W105" s="26"/>
      <c r="Y105" s="26"/>
      <c r="Z105" s="26"/>
      <c r="AA105" s="26"/>
    </row>
    <row r="106" ht="15.75" customHeight="1">
      <c r="A106" s="2">
        <f t="shared" si="7"/>
        <v>105</v>
      </c>
      <c r="B106" s="19">
        <v>1.0</v>
      </c>
      <c r="C106" s="2">
        <f t="shared" si="3"/>
        <v>577</v>
      </c>
      <c r="D106" s="9">
        <v>2.0</v>
      </c>
      <c r="E106" s="2">
        <f t="shared" si="4"/>
        <v>582</v>
      </c>
      <c r="F106" s="2">
        <f t="shared" si="1"/>
        <v>584</v>
      </c>
      <c r="G106" s="2">
        <f t="shared" si="2"/>
        <v>7</v>
      </c>
      <c r="H106" s="2">
        <f t="shared" si="5"/>
        <v>0</v>
      </c>
      <c r="I106" s="2">
        <f t="shared" si="6"/>
        <v>5</v>
      </c>
      <c r="Q106" s="26"/>
      <c r="R106" s="26"/>
      <c r="S106" s="26"/>
      <c r="U106" s="26"/>
      <c r="V106" s="26"/>
      <c r="W106" s="26"/>
      <c r="Y106" s="26"/>
      <c r="Z106" s="26"/>
      <c r="AA106" s="26"/>
    </row>
    <row r="107" ht="15.75" customHeight="1">
      <c r="A107" s="2">
        <f t="shared" si="7"/>
        <v>106</v>
      </c>
      <c r="B107" s="19">
        <v>6.0</v>
      </c>
      <c r="C107" s="2">
        <f t="shared" si="3"/>
        <v>583</v>
      </c>
      <c r="D107" s="9">
        <v>4.0</v>
      </c>
      <c r="E107" s="2">
        <f t="shared" si="4"/>
        <v>584</v>
      </c>
      <c r="F107" s="2">
        <f t="shared" si="1"/>
        <v>588</v>
      </c>
      <c r="G107" s="2">
        <f t="shared" si="2"/>
        <v>5</v>
      </c>
      <c r="H107" s="2">
        <f t="shared" si="5"/>
        <v>0</v>
      </c>
      <c r="I107" s="2">
        <f t="shared" si="6"/>
        <v>1</v>
      </c>
      <c r="Q107" s="26"/>
      <c r="R107" s="26"/>
      <c r="S107" s="26"/>
      <c r="U107" s="26"/>
      <c r="V107" s="26"/>
      <c r="W107" s="26"/>
      <c r="Y107" s="26"/>
      <c r="Z107" s="26"/>
      <c r="AA107" s="26"/>
    </row>
    <row r="108" ht="15.75" customHeight="1">
      <c r="A108" s="2">
        <f t="shared" si="7"/>
        <v>107</v>
      </c>
      <c r="B108" s="19">
        <v>2.0</v>
      </c>
      <c r="C108" s="2">
        <f t="shared" si="3"/>
        <v>585</v>
      </c>
      <c r="D108" s="9">
        <v>6.0</v>
      </c>
      <c r="E108" s="2">
        <f t="shared" si="4"/>
        <v>588</v>
      </c>
      <c r="F108" s="2">
        <f t="shared" si="1"/>
        <v>594</v>
      </c>
      <c r="G108" s="2">
        <f t="shared" si="2"/>
        <v>9</v>
      </c>
      <c r="H108" s="2">
        <f t="shared" si="5"/>
        <v>0</v>
      </c>
      <c r="I108" s="2">
        <f t="shared" si="6"/>
        <v>3</v>
      </c>
      <c r="Q108" s="26"/>
      <c r="R108" s="26"/>
      <c r="S108" s="26"/>
      <c r="U108" s="26"/>
      <c r="V108" s="26"/>
      <c r="W108" s="26"/>
      <c r="Y108" s="26"/>
      <c r="Z108" s="26"/>
      <c r="AA108" s="26"/>
    </row>
    <row r="109" ht="15.75" customHeight="1">
      <c r="A109" s="2">
        <f t="shared" si="7"/>
        <v>108</v>
      </c>
      <c r="B109" s="19">
        <v>8.0</v>
      </c>
      <c r="C109" s="2">
        <f t="shared" si="3"/>
        <v>593</v>
      </c>
      <c r="D109" s="9">
        <v>3.0</v>
      </c>
      <c r="E109" s="2">
        <f t="shared" si="4"/>
        <v>594</v>
      </c>
      <c r="F109" s="2">
        <f t="shared" si="1"/>
        <v>597</v>
      </c>
      <c r="G109" s="2">
        <f t="shared" si="2"/>
        <v>4</v>
      </c>
      <c r="H109" s="2">
        <f t="shared" si="5"/>
        <v>0</v>
      </c>
      <c r="I109" s="2">
        <f t="shared" si="6"/>
        <v>1</v>
      </c>
      <c r="Q109" s="26"/>
      <c r="R109" s="26"/>
      <c r="S109" s="26"/>
      <c r="U109" s="26"/>
      <c r="V109" s="26"/>
      <c r="W109" s="26"/>
      <c r="Y109" s="26"/>
      <c r="Z109" s="26"/>
      <c r="AA109" s="26"/>
    </row>
    <row r="110" ht="15.75" customHeight="1">
      <c r="A110" s="2">
        <f t="shared" si="7"/>
        <v>109</v>
      </c>
      <c r="B110" s="19">
        <v>4.0</v>
      </c>
      <c r="C110" s="2">
        <f t="shared" si="3"/>
        <v>597</v>
      </c>
      <c r="D110" s="9">
        <v>5.0</v>
      </c>
      <c r="E110" s="2">
        <f t="shared" si="4"/>
        <v>597</v>
      </c>
      <c r="F110" s="2">
        <f t="shared" si="1"/>
        <v>602</v>
      </c>
      <c r="G110" s="2">
        <f t="shared" si="2"/>
        <v>5</v>
      </c>
      <c r="H110" s="2">
        <f t="shared" si="5"/>
        <v>0</v>
      </c>
      <c r="I110" s="2">
        <f t="shared" si="6"/>
        <v>0</v>
      </c>
      <c r="Q110" s="26"/>
      <c r="R110" s="26"/>
      <c r="S110" s="26"/>
      <c r="U110" s="26"/>
      <c r="V110" s="26"/>
      <c r="W110" s="26"/>
      <c r="Y110" s="26"/>
      <c r="Z110" s="26"/>
      <c r="AA110" s="26"/>
    </row>
    <row r="111" ht="15.75" customHeight="1">
      <c r="A111" s="2">
        <f t="shared" si="7"/>
        <v>110</v>
      </c>
      <c r="B111" s="19">
        <v>3.0</v>
      </c>
      <c r="C111" s="2">
        <f t="shared" si="3"/>
        <v>600</v>
      </c>
      <c r="D111" s="9">
        <v>1.0</v>
      </c>
      <c r="E111" s="2">
        <f t="shared" si="4"/>
        <v>602</v>
      </c>
      <c r="F111" s="2">
        <f t="shared" si="1"/>
        <v>603</v>
      </c>
      <c r="G111" s="2">
        <f t="shared" si="2"/>
        <v>3</v>
      </c>
      <c r="H111" s="2">
        <f t="shared" si="5"/>
        <v>0</v>
      </c>
      <c r="I111" s="2">
        <f t="shared" si="6"/>
        <v>2</v>
      </c>
      <c r="Q111" s="26"/>
      <c r="R111" s="26"/>
      <c r="S111" s="26"/>
      <c r="U111" s="26"/>
      <c r="V111" s="26"/>
      <c r="W111" s="26"/>
      <c r="Y111" s="26"/>
      <c r="Z111" s="26"/>
      <c r="AA111" s="26"/>
    </row>
    <row r="112" ht="15.75" customHeight="1">
      <c r="A112" s="2">
        <f t="shared" si="7"/>
        <v>111</v>
      </c>
      <c r="B112" s="19">
        <v>5.0</v>
      </c>
      <c r="C112" s="2">
        <f t="shared" si="3"/>
        <v>605</v>
      </c>
      <c r="D112" s="9">
        <v>2.0</v>
      </c>
      <c r="E112" s="2">
        <f t="shared" si="4"/>
        <v>605</v>
      </c>
      <c r="F112" s="2">
        <f t="shared" si="1"/>
        <v>607</v>
      </c>
      <c r="G112" s="2">
        <f t="shared" si="2"/>
        <v>2</v>
      </c>
      <c r="H112" s="2">
        <f t="shared" si="5"/>
        <v>2</v>
      </c>
      <c r="I112" s="2">
        <f t="shared" si="6"/>
        <v>0</v>
      </c>
      <c r="Q112" s="26"/>
      <c r="R112" s="26"/>
      <c r="S112" s="26"/>
      <c r="U112" s="26"/>
      <c r="V112" s="26"/>
      <c r="W112" s="26"/>
      <c r="Y112" s="26"/>
      <c r="Z112" s="26"/>
      <c r="AA112" s="26"/>
    </row>
    <row r="113" ht="15.75" customHeight="1">
      <c r="A113" s="2">
        <f t="shared" si="7"/>
        <v>112</v>
      </c>
      <c r="B113" s="19">
        <v>9.0</v>
      </c>
      <c r="C113" s="2">
        <f t="shared" si="3"/>
        <v>614</v>
      </c>
      <c r="D113" s="9">
        <v>6.0</v>
      </c>
      <c r="E113" s="2">
        <f t="shared" si="4"/>
        <v>614</v>
      </c>
      <c r="F113" s="2">
        <f t="shared" si="1"/>
        <v>620</v>
      </c>
      <c r="G113" s="2">
        <f t="shared" si="2"/>
        <v>6</v>
      </c>
      <c r="H113" s="2">
        <f t="shared" si="5"/>
        <v>7</v>
      </c>
      <c r="I113" s="2">
        <f t="shared" si="6"/>
        <v>0</v>
      </c>
      <c r="Q113" s="26"/>
      <c r="R113" s="26"/>
      <c r="S113" s="26"/>
      <c r="U113" s="26"/>
      <c r="V113" s="26"/>
      <c r="W113" s="26"/>
      <c r="Y113" s="26"/>
      <c r="Z113" s="26"/>
      <c r="AA113" s="26"/>
    </row>
    <row r="114" ht="15.75" customHeight="1">
      <c r="A114" s="2">
        <f t="shared" si="7"/>
        <v>113</v>
      </c>
      <c r="B114" s="19">
        <v>7.0</v>
      </c>
      <c r="C114" s="2">
        <f t="shared" si="3"/>
        <v>621</v>
      </c>
      <c r="D114" s="9">
        <v>4.0</v>
      </c>
      <c r="E114" s="2">
        <f t="shared" si="4"/>
        <v>621</v>
      </c>
      <c r="F114" s="2">
        <f t="shared" si="1"/>
        <v>625</v>
      </c>
      <c r="G114" s="2">
        <f t="shared" si="2"/>
        <v>4</v>
      </c>
      <c r="H114" s="2">
        <f t="shared" si="5"/>
        <v>1</v>
      </c>
      <c r="I114" s="2">
        <f t="shared" si="6"/>
        <v>0</v>
      </c>
      <c r="Q114" s="26"/>
      <c r="R114" s="26"/>
      <c r="S114" s="26"/>
      <c r="U114" s="26"/>
      <c r="V114" s="26"/>
      <c r="W114" s="26"/>
      <c r="Y114" s="26"/>
      <c r="Z114" s="26"/>
      <c r="AA114" s="26"/>
    </row>
    <row r="115" ht="15.75" customHeight="1">
      <c r="A115" s="2">
        <f t="shared" si="7"/>
        <v>114</v>
      </c>
      <c r="B115" s="19">
        <v>10.0</v>
      </c>
      <c r="C115" s="2">
        <f t="shared" si="3"/>
        <v>631</v>
      </c>
      <c r="D115" s="9">
        <v>3.0</v>
      </c>
      <c r="E115" s="2">
        <f t="shared" si="4"/>
        <v>631</v>
      </c>
      <c r="F115" s="2">
        <f t="shared" si="1"/>
        <v>634</v>
      </c>
      <c r="G115" s="2">
        <f t="shared" si="2"/>
        <v>3</v>
      </c>
      <c r="H115" s="2">
        <f t="shared" si="5"/>
        <v>6</v>
      </c>
      <c r="I115" s="2">
        <f t="shared" si="6"/>
        <v>0</v>
      </c>
      <c r="Q115" s="26"/>
      <c r="R115" s="26"/>
      <c r="S115" s="26"/>
      <c r="U115" s="26"/>
      <c r="V115" s="26"/>
      <c r="W115" s="26"/>
      <c r="Y115" s="26"/>
      <c r="Z115" s="26"/>
      <c r="AA115" s="26"/>
    </row>
    <row r="116" ht="15.75" customHeight="1">
      <c r="A116" s="2">
        <f t="shared" si="7"/>
        <v>115</v>
      </c>
      <c r="B116" s="19">
        <v>1.0</v>
      </c>
      <c r="C116" s="2">
        <f t="shared" si="3"/>
        <v>632</v>
      </c>
      <c r="D116" s="9">
        <v>5.0</v>
      </c>
      <c r="E116" s="2">
        <f t="shared" si="4"/>
        <v>634</v>
      </c>
      <c r="F116" s="2">
        <f t="shared" si="1"/>
        <v>639</v>
      </c>
      <c r="G116" s="2">
        <f t="shared" si="2"/>
        <v>7</v>
      </c>
      <c r="H116" s="2">
        <f t="shared" si="5"/>
        <v>0</v>
      </c>
      <c r="I116" s="2">
        <f t="shared" si="6"/>
        <v>2</v>
      </c>
      <c r="Q116" s="26"/>
      <c r="R116" s="26"/>
      <c r="S116" s="26"/>
      <c r="U116" s="26"/>
      <c r="V116" s="26"/>
      <c r="W116" s="26"/>
      <c r="Y116" s="26"/>
      <c r="Z116" s="26"/>
      <c r="AA116" s="26"/>
    </row>
    <row r="117" ht="15.75" customHeight="1">
      <c r="A117" s="2">
        <f t="shared" si="7"/>
        <v>116</v>
      </c>
      <c r="B117" s="19">
        <v>6.0</v>
      </c>
      <c r="C117" s="2">
        <f t="shared" si="3"/>
        <v>638</v>
      </c>
      <c r="D117" s="9">
        <v>1.0</v>
      </c>
      <c r="E117" s="2">
        <f t="shared" si="4"/>
        <v>639</v>
      </c>
      <c r="F117" s="2">
        <f t="shared" si="1"/>
        <v>640</v>
      </c>
      <c r="G117" s="2">
        <f t="shared" si="2"/>
        <v>2</v>
      </c>
      <c r="H117" s="2">
        <f t="shared" si="5"/>
        <v>0</v>
      </c>
      <c r="I117" s="2">
        <f t="shared" si="6"/>
        <v>1</v>
      </c>
      <c r="Q117" s="26"/>
      <c r="R117" s="26"/>
      <c r="S117" s="26"/>
      <c r="U117" s="26"/>
      <c r="V117" s="26"/>
      <c r="W117" s="26"/>
      <c r="Y117" s="26"/>
      <c r="Z117" s="26"/>
      <c r="AA117" s="26"/>
    </row>
    <row r="118" ht="15.75" customHeight="1">
      <c r="A118" s="2">
        <f t="shared" si="7"/>
        <v>117</v>
      </c>
      <c r="B118" s="19">
        <v>2.0</v>
      </c>
      <c r="C118" s="2">
        <f t="shared" si="3"/>
        <v>640</v>
      </c>
      <c r="D118" s="9">
        <v>4.0</v>
      </c>
      <c r="E118" s="2">
        <f t="shared" si="4"/>
        <v>640</v>
      </c>
      <c r="F118" s="2">
        <f t="shared" si="1"/>
        <v>644</v>
      </c>
      <c r="G118" s="2">
        <f t="shared" si="2"/>
        <v>4</v>
      </c>
      <c r="H118" s="2">
        <f t="shared" si="5"/>
        <v>0</v>
      </c>
      <c r="I118" s="2">
        <f t="shared" si="6"/>
        <v>0</v>
      </c>
      <c r="Q118" s="26"/>
      <c r="R118" s="26"/>
      <c r="S118" s="26"/>
      <c r="U118" s="26"/>
      <c r="V118" s="26"/>
      <c r="W118" s="26"/>
      <c r="Y118" s="26"/>
      <c r="Z118" s="26"/>
      <c r="AA118" s="26"/>
    </row>
    <row r="119" ht="15.75" customHeight="1">
      <c r="A119" s="2">
        <f t="shared" si="7"/>
        <v>118</v>
      </c>
      <c r="B119" s="19">
        <v>8.0</v>
      </c>
      <c r="C119" s="2">
        <f t="shared" si="3"/>
        <v>648</v>
      </c>
      <c r="D119" s="9">
        <v>2.0</v>
      </c>
      <c r="E119" s="2">
        <f t="shared" si="4"/>
        <v>648</v>
      </c>
      <c r="F119" s="2">
        <f t="shared" si="1"/>
        <v>650</v>
      </c>
      <c r="G119" s="2">
        <f t="shared" si="2"/>
        <v>2</v>
      </c>
      <c r="H119" s="2">
        <f t="shared" si="5"/>
        <v>4</v>
      </c>
      <c r="I119" s="2">
        <f t="shared" si="6"/>
        <v>0</v>
      </c>
      <c r="Q119" s="26"/>
      <c r="R119" s="26"/>
      <c r="S119" s="26"/>
      <c r="U119" s="26"/>
      <c r="V119" s="26"/>
      <c r="W119" s="26"/>
      <c r="Y119" s="26"/>
      <c r="Z119" s="26"/>
      <c r="AA119" s="26"/>
    </row>
    <row r="120" ht="15.75" customHeight="1">
      <c r="A120" s="2">
        <f t="shared" si="7"/>
        <v>119</v>
      </c>
      <c r="B120" s="19">
        <v>4.0</v>
      </c>
      <c r="C120" s="2">
        <f t="shared" si="3"/>
        <v>652</v>
      </c>
      <c r="D120" s="9">
        <v>6.0</v>
      </c>
      <c r="E120" s="2">
        <f t="shared" si="4"/>
        <v>652</v>
      </c>
      <c r="F120" s="2">
        <f t="shared" si="1"/>
        <v>658</v>
      </c>
      <c r="G120" s="2">
        <f t="shared" si="2"/>
        <v>6</v>
      </c>
      <c r="H120" s="2">
        <f t="shared" si="5"/>
        <v>2</v>
      </c>
      <c r="I120" s="2">
        <f t="shared" si="6"/>
        <v>0</v>
      </c>
      <c r="Q120" s="26"/>
      <c r="R120" s="26"/>
      <c r="S120" s="26"/>
      <c r="U120" s="26"/>
      <c r="V120" s="26"/>
      <c r="W120" s="26"/>
      <c r="Y120" s="26"/>
      <c r="Z120" s="26"/>
      <c r="AA120" s="26"/>
    </row>
    <row r="121" ht="15.75" customHeight="1">
      <c r="A121" s="2">
        <f t="shared" si="7"/>
        <v>120</v>
      </c>
      <c r="B121" s="19">
        <v>3.0</v>
      </c>
      <c r="C121" s="2">
        <f t="shared" si="3"/>
        <v>655</v>
      </c>
      <c r="D121" s="9">
        <v>3.0</v>
      </c>
      <c r="E121" s="2">
        <f t="shared" si="4"/>
        <v>658</v>
      </c>
      <c r="F121" s="2">
        <f t="shared" si="1"/>
        <v>661</v>
      </c>
      <c r="G121" s="2">
        <f t="shared" si="2"/>
        <v>6</v>
      </c>
      <c r="H121" s="2">
        <f t="shared" si="5"/>
        <v>0</v>
      </c>
      <c r="I121" s="2">
        <f t="shared" si="6"/>
        <v>3</v>
      </c>
      <c r="Q121" s="26"/>
      <c r="R121" s="26"/>
      <c r="S121" s="26"/>
      <c r="U121" s="26"/>
      <c r="V121" s="26"/>
      <c r="W121" s="26"/>
      <c r="Y121" s="26"/>
      <c r="Z121" s="26"/>
      <c r="AA121" s="26"/>
    </row>
    <row r="122" ht="15.75" customHeight="1">
      <c r="A122" s="2">
        <f t="shared" si="7"/>
        <v>121</v>
      </c>
      <c r="B122" s="19">
        <v>5.0</v>
      </c>
      <c r="C122" s="2">
        <f t="shared" si="3"/>
        <v>660</v>
      </c>
      <c r="D122" s="9">
        <v>1.0</v>
      </c>
      <c r="E122" s="2">
        <f t="shared" si="4"/>
        <v>661</v>
      </c>
      <c r="F122" s="2">
        <f t="shared" si="1"/>
        <v>662</v>
      </c>
      <c r="G122" s="2">
        <f t="shared" si="2"/>
        <v>2</v>
      </c>
      <c r="H122" s="2">
        <f t="shared" si="5"/>
        <v>0</v>
      </c>
      <c r="I122" s="2">
        <f t="shared" si="6"/>
        <v>1</v>
      </c>
      <c r="Q122" s="26"/>
      <c r="R122" s="26"/>
      <c r="S122" s="26"/>
      <c r="U122" s="26"/>
      <c r="V122" s="26"/>
      <c r="W122" s="26"/>
      <c r="Y122" s="26"/>
      <c r="Z122" s="26"/>
      <c r="AA122" s="26"/>
    </row>
    <row r="123" ht="15.75" customHeight="1">
      <c r="A123" s="2">
        <f t="shared" si="7"/>
        <v>122</v>
      </c>
      <c r="B123" s="19">
        <v>9.0</v>
      </c>
      <c r="C123" s="2">
        <f t="shared" si="3"/>
        <v>669</v>
      </c>
      <c r="D123" s="9">
        <v>5.0</v>
      </c>
      <c r="E123" s="2">
        <f t="shared" si="4"/>
        <v>669</v>
      </c>
      <c r="F123" s="2">
        <f t="shared" si="1"/>
        <v>674</v>
      </c>
      <c r="G123" s="2">
        <f t="shared" si="2"/>
        <v>5</v>
      </c>
      <c r="H123" s="2">
        <f t="shared" si="5"/>
        <v>7</v>
      </c>
      <c r="I123" s="2">
        <f t="shared" si="6"/>
        <v>0</v>
      </c>
      <c r="Q123" s="26"/>
      <c r="R123" s="26"/>
      <c r="S123" s="26"/>
      <c r="U123" s="26"/>
      <c r="V123" s="26"/>
      <c r="W123" s="26"/>
      <c r="Y123" s="26"/>
      <c r="Z123" s="26"/>
      <c r="AA123" s="26"/>
    </row>
    <row r="124" ht="15.75" customHeight="1">
      <c r="A124" s="2">
        <f t="shared" si="7"/>
        <v>123</v>
      </c>
      <c r="B124" s="19">
        <v>7.0</v>
      </c>
      <c r="C124" s="2">
        <f t="shared" si="3"/>
        <v>676</v>
      </c>
      <c r="D124" s="9">
        <v>2.0</v>
      </c>
      <c r="E124" s="2">
        <f t="shared" si="4"/>
        <v>676</v>
      </c>
      <c r="F124" s="2">
        <f t="shared" si="1"/>
        <v>678</v>
      </c>
      <c r="G124" s="2">
        <f t="shared" si="2"/>
        <v>2</v>
      </c>
      <c r="H124" s="2">
        <f t="shared" si="5"/>
        <v>2</v>
      </c>
      <c r="I124" s="2">
        <f t="shared" si="6"/>
        <v>0</v>
      </c>
      <c r="Q124" s="26"/>
      <c r="R124" s="26"/>
      <c r="S124" s="26"/>
      <c r="U124" s="26"/>
      <c r="V124" s="26"/>
      <c r="W124" s="26"/>
      <c r="Y124" s="26"/>
      <c r="Z124" s="26"/>
      <c r="AA124" s="26"/>
    </row>
    <row r="125" ht="15.75" customHeight="1">
      <c r="A125" s="2">
        <f t="shared" si="7"/>
        <v>124</v>
      </c>
      <c r="B125" s="19">
        <v>10.0</v>
      </c>
      <c r="C125" s="2">
        <f t="shared" si="3"/>
        <v>686</v>
      </c>
      <c r="D125" s="9">
        <v>6.0</v>
      </c>
      <c r="E125" s="2">
        <f t="shared" si="4"/>
        <v>686</v>
      </c>
      <c r="F125" s="2">
        <f t="shared" si="1"/>
        <v>692</v>
      </c>
      <c r="G125" s="2">
        <f t="shared" si="2"/>
        <v>6</v>
      </c>
      <c r="H125" s="2">
        <f t="shared" si="5"/>
        <v>8</v>
      </c>
      <c r="I125" s="2">
        <f t="shared" si="6"/>
        <v>0</v>
      </c>
      <c r="Q125" s="26"/>
      <c r="R125" s="26"/>
      <c r="S125" s="26"/>
      <c r="U125" s="26"/>
      <c r="V125" s="26"/>
      <c r="W125" s="26"/>
      <c r="Y125" s="26"/>
      <c r="Z125" s="26"/>
      <c r="AA125" s="26"/>
    </row>
    <row r="126" ht="15.75" customHeight="1">
      <c r="A126" s="2">
        <f t="shared" si="7"/>
        <v>125</v>
      </c>
      <c r="B126" s="19">
        <v>1.0</v>
      </c>
      <c r="C126" s="2">
        <f t="shared" si="3"/>
        <v>687</v>
      </c>
      <c r="D126" s="9">
        <v>4.0</v>
      </c>
      <c r="E126" s="2">
        <f t="shared" si="4"/>
        <v>692</v>
      </c>
      <c r="F126" s="2">
        <f t="shared" si="1"/>
        <v>696</v>
      </c>
      <c r="G126" s="2">
        <f t="shared" si="2"/>
        <v>9</v>
      </c>
      <c r="H126" s="2">
        <f t="shared" si="5"/>
        <v>0</v>
      </c>
      <c r="I126" s="2">
        <f t="shared" si="6"/>
        <v>5</v>
      </c>
      <c r="Q126" s="26"/>
      <c r="R126" s="26"/>
      <c r="S126" s="26"/>
      <c r="U126" s="26"/>
      <c r="V126" s="26"/>
      <c r="W126" s="26"/>
      <c r="Y126" s="26"/>
      <c r="Z126" s="26"/>
      <c r="AA126" s="26"/>
    </row>
    <row r="127" ht="15.75" customHeight="1">
      <c r="A127" s="2">
        <f t="shared" si="7"/>
        <v>126</v>
      </c>
      <c r="B127" s="19">
        <v>6.0</v>
      </c>
      <c r="C127" s="2">
        <f t="shared" si="3"/>
        <v>693</v>
      </c>
      <c r="D127" s="9">
        <v>3.0</v>
      </c>
      <c r="E127" s="2">
        <f t="shared" si="4"/>
        <v>696</v>
      </c>
      <c r="F127" s="2">
        <f t="shared" si="1"/>
        <v>699</v>
      </c>
      <c r="G127" s="2">
        <f t="shared" si="2"/>
        <v>6</v>
      </c>
      <c r="H127" s="2">
        <f t="shared" si="5"/>
        <v>0</v>
      </c>
      <c r="I127" s="2">
        <f t="shared" si="6"/>
        <v>3</v>
      </c>
      <c r="Q127" s="26"/>
      <c r="R127" s="26"/>
      <c r="S127" s="26"/>
      <c r="U127" s="26"/>
      <c r="V127" s="26"/>
      <c r="W127" s="26"/>
      <c r="Y127" s="26"/>
      <c r="Z127" s="26"/>
      <c r="AA127" s="26"/>
    </row>
    <row r="128" ht="15.75" customHeight="1">
      <c r="A128" s="2">
        <f t="shared" si="7"/>
        <v>127</v>
      </c>
      <c r="B128" s="19">
        <v>2.0</v>
      </c>
      <c r="C128" s="2">
        <f t="shared" si="3"/>
        <v>695</v>
      </c>
      <c r="D128" s="9">
        <v>5.0</v>
      </c>
      <c r="E128" s="2">
        <f t="shared" si="4"/>
        <v>699</v>
      </c>
      <c r="F128" s="2">
        <f t="shared" si="1"/>
        <v>704</v>
      </c>
      <c r="G128" s="2">
        <f t="shared" si="2"/>
        <v>9</v>
      </c>
      <c r="H128" s="2">
        <f t="shared" si="5"/>
        <v>0</v>
      </c>
      <c r="I128" s="2">
        <f t="shared" si="6"/>
        <v>4</v>
      </c>
      <c r="Q128" s="26"/>
      <c r="R128" s="26"/>
      <c r="S128" s="26"/>
      <c r="U128" s="26"/>
      <c r="V128" s="26"/>
      <c r="W128" s="26"/>
      <c r="Y128" s="26"/>
      <c r="Z128" s="26"/>
      <c r="AA128" s="26"/>
    </row>
    <row r="129" ht="15.75" customHeight="1">
      <c r="A129" s="2">
        <f t="shared" si="7"/>
        <v>128</v>
      </c>
      <c r="B129" s="19">
        <v>8.0</v>
      </c>
      <c r="C129" s="2">
        <f t="shared" si="3"/>
        <v>703</v>
      </c>
      <c r="D129" s="9">
        <v>1.0</v>
      </c>
      <c r="E129" s="2">
        <f t="shared" si="4"/>
        <v>704</v>
      </c>
      <c r="F129" s="2">
        <f t="shared" si="1"/>
        <v>705</v>
      </c>
      <c r="G129" s="2">
        <f t="shared" si="2"/>
        <v>2</v>
      </c>
      <c r="H129" s="2">
        <f t="shared" si="5"/>
        <v>0</v>
      </c>
      <c r="I129" s="2">
        <f t="shared" si="6"/>
        <v>1</v>
      </c>
      <c r="Q129" s="26"/>
      <c r="R129" s="26"/>
      <c r="S129" s="26"/>
      <c r="U129" s="26"/>
      <c r="V129" s="26"/>
      <c r="W129" s="26"/>
      <c r="Y129" s="26"/>
      <c r="Z129" s="26"/>
      <c r="AA129" s="26"/>
    </row>
    <row r="130" ht="15.75" customHeight="1">
      <c r="A130" s="2">
        <f t="shared" si="7"/>
        <v>129</v>
      </c>
      <c r="B130" s="19">
        <v>4.0</v>
      </c>
      <c r="C130" s="2">
        <f t="shared" si="3"/>
        <v>707</v>
      </c>
      <c r="D130" s="9">
        <v>2.0</v>
      </c>
      <c r="E130" s="2">
        <f t="shared" si="4"/>
        <v>707</v>
      </c>
      <c r="F130" s="2">
        <f t="shared" si="1"/>
        <v>709</v>
      </c>
      <c r="G130" s="2">
        <f t="shared" si="2"/>
        <v>2</v>
      </c>
      <c r="H130" s="2">
        <f t="shared" si="5"/>
        <v>2</v>
      </c>
      <c r="I130" s="2">
        <f t="shared" si="6"/>
        <v>0</v>
      </c>
      <c r="Q130" s="26"/>
      <c r="R130" s="26"/>
      <c r="S130" s="26"/>
      <c r="U130" s="26"/>
      <c r="V130" s="26"/>
      <c r="W130" s="26"/>
      <c r="Y130" s="26"/>
      <c r="Z130" s="26"/>
      <c r="AA130" s="26"/>
    </row>
    <row r="131" ht="15.75" customHeight="1">
      <c r="A131" s="2">
        <f t="shared" si="7"/>
        <v>130</v>
      </c>
      <c r="B131" s="19">
        <v>3.0</v>
      </c>
      <c r="C131" s="2">
        <f t="shared" si="3"/>
        <v>710</v>
      </c>
      <c r="D131" s="9">
        <v>6.0</v>
      </c>
      <c r="E131" s="2">
        <f t="shared" si="4"/>
        <v>710</v>
      </c>
      <c r="F131" s="2">
        <f t="shared" si="1"/>
        <v>716</v>
      </c>
      <c r="G131" s="2">
        <f t="shared" si="2"/>
        <v>6</v>
      </c>
      <c r="H131" s="2">
        <f t="shared" si="5"/>
        <v>1</v>
      </c>
      <c r="I131" s="2">
        <f t="shared" si="6"/>
        <v>0</v>
      </c>
      <c r="Q131" s="26"/>
      <c r="R131" s="26"/>
      <c r="S131" s="26"/>
      <c r="U131" s="26"/>
      <c r="V131" s="26"/>
      <c r="W131" s="26"/>
      <c r="Y131" s="26"/>
      <c r="Z131" s="26"/>
      <c r="AA131" s="26"/>
    </row>
    <row r="132" ht="15.75" customHeight="1">
      <c r="A132" s="2">
        <f t="shared" si="7"/>
        <v>131</v>
      </c>
      <c r="B132" s="19">
        <v>5.0</v>
      </c>
      <c r="C132" s="2">
        <f t="shared" si="3"/>
        <v>715</v>
      </c>
      <c r="D132" s="9">
        <v>4.0</v>
      </c>
      <c r="E132" s="2">
        <f t="shared" si="4"/>
        <v>716</v>
      </c>
      <c r="F132" s="2">
        <f t="shared" si="1"/>
        <v>720</v>
      </c>
      <c r="G132" s="2">
        <f t="shared" si="2"/>
        <v>5</v>
      </c>
      <c r="H132" s="2">
        <f t="shared" si="5"/>
        <v>0</v>
      </c>
      <c r="I132" s="2">
        <f t="shared" si="6"/>
        <v>1</v>
      </c>
      <c r="Q132" s="26"/>
      <c r="R132" s="26"/>
      <c r="S132" s="26"/>
      <c r="U132" s="26"/>
      <c r="V132" s="26"/>
      <c r="W132" s="26"/>
      <c r="Y132" s="26"/>
      <c r="Z132" s="26"/>
      <c r="AA132" s="26"/>
    </row>
    <row r="133" ht="15.75" customHeight="1">
      <c r="A133" s="2">
        <f t="shared" si="7"/>
        <v>132</v>
      </c>
      <c r="B133" s="19">
        <v>9.0</v>
      </c>
      <c r="C133" s="2">
        <f t="shared" si="3"/>
        <v>724</v>
      </c>
      <c r="D133" s="9">
        <v>3.0</v>
      </c>
      <c r="E133" s="2">
        <f t="shared" si="4"/>
        <v>724</v>
      </c>
      <c r="F133" s="2">
        <f t="shared" si="1"/>
        <v>727</v>
      </c>
      <c r="G133" s="2">
        <f t="shared" si="2"/>
        <v>3</v>
      </c>
      <c r="H133" s="2">
        <f t="shared" si="5"/>
        <v>4</v>
      </c>
      <c r="I133" s="2">
        <f t="shared" si="6"/>
        <v>0</v>
      </c>
      <c r="Q133" s="26"/>
      <c r="R133" s="26"/>
      <c r="S133" s="26"/>
      <c r="U133" s="26"/>
      <c r="V133" s="26"/>
      <c r="W133" s="26"/>
      <c r="Y133" s="26"/>
      <c r="Z133" s="26"/>
      <c r="AA133" s="26"/>
    </row>
    <row r="134" ht="15.75" customHeight="1">
      <c r="A134" s="2">
        <f t="shared" si="7"/>
        <v>133</v>
      </c>
      <c r="B134" s="19">
        <v>7.0</v>
      </c>
      <c r="C134" s="2">
        <f t="shared" si="3"/>
        <v>731</v>
      </c>
      <c r="D134" s="9">
        <v>5.0</v>
      </c>
      <c r="E134" s="2">
        <f t="shared" si="4"/>
        <v>731</v>
      </c>
      <c r="F134" s="2">
        <f t="shared" si="1"/>
        <v>736</v>
      </c>
      <c r="G134" s="2">
        <f t="shared" si="2"/>
        <v>5</v>
      </c>
      <c r="H134" s="2">
        <f t="shared" si="5"/>
        <v>4</v>
      </c>
      <c r="I134" s="2">
        <f t="shared" si="6"/>
        <v>0</v>
      </c>
      <c r="Q134" s="26"/>
      <c r="R134" s="26"/>
      <c r="S134" s="26"/>
      <c r="U134" s="26"/>
      <c r="V134" s="26"/>
      <c r="W134" s="26"/>
      <c r="Y134" s="26"/>
      <c r="Z134" s="26"/>
      <c r="AA134" s="26"/>
    </row>
    <row r="135" ht="15.75" customHeight="1">
      <c r="A135" s="2">
        <f t="shared" si="7"/>
        <v>134</v>
      </c>
      <c r="B135" s="19">
        <v>10.0</v>
      </c>
      <c r="C135" s="2">
        <f t="shared" si="3"/>
        <v>741</v>
      </c>
      <c r="D135" s="9">
        <v>2.0</v>
      </c>
      <c r="E135" s="2">
        <f t="shared" si="4"/>
        <v>741</v>
      </c>
      <c r="F135" s="2">
        <f t="shared" si="1"/>
        <v>743</v>
      </c>
      <c r="G135" s="2">
        <f t="shared" si="2"/>
        <v>2</v>
      </c>
      <c r="H135" s="2">
        <f t="shared" si="5"/>
        <v>5</v>
      </c>
      <c r="I135" s="2">
        <f t="shared" si="6"/>
        <v>0</v>
      </c>
      <c r="Q135" s="26"/>
      <c r="R135" s="26"/>
      <c r="S135" s="26"/>
      <c r="U135" s="26"/>
      <c r="V135" s="26"/>
      <c r="W135" s="26"/>
      <c r="Y135" s="26"/>
      <c r="Z135" s="26"/>
      <c r="AA135" s="26"/>
    </row>
    <row r="136" ht="15.75" customHeight="1">
      <c r="A136" s="2">
        <f t="shared" si="7"/>
        <v>135</v>
      </c>
      <c r="B136" s="19">
        <v>1.0</v>
      </c>
      <c r="C136" s="2">
        <f t="shared" si="3"/>
        <v>742</v>
      </c>
      <c r="D136" s="9">
        <v>6.0</v>
      </c>
      <c r="E136" s="2">
        <f t="shared" si="4"/>
        <v>743</v>
      </c>
      <c r="F136" s="2">
        <f t="shared" si="1"/>
        <v>749</v>
      </c>
      <c r="G136" s="2">
        <f t="shared" si="2"/>
        <v>7</v>
      </c>
      <c r="H136" s="2">
        <f t="shared" si="5"/>
        <v>0</v>
      </c>
      <c r="I136" s="2">
        <f t="shared" si="6"/>
        <v>1</v>
      </c>
      <c r="Q136" s="26"/>
      <c r="R136" s="26"/>
      <c r="S136" s="26"/>
      <c r="U136" s="26"/>
      <c r="V136" s="26"/>
      <c r="W136" s="26"/>
      <c r="Y136" s="26"/>
      <c r="Z136" s="26"/>
      <c r="AA136" s="26"/>
    </row>
    <row r="137" ht="15.75" customHeight="1">
      <c r="A137" s="2">
        <f t="shared" si="7"/>
        <v>136</v>
      </c>
      <c r="B137" s="19">
        <v>6.0</v>
      </c>
      <c r="C137" s="2">
        <f t="shared" si="3"/>
        <v>748</v>
      </c>
      <c r="D137" s="9">
        <v>4.0</v>
      </c>
      <c r="E137" s="2">
        <f t="shared" si="4"/>
        <v>749</v>
      </c>
      <c r="F137" s="2">
        <f t="shared" si="1"/>
        <v>753</v>
      </c>
      <c r="G137" s="2">
        <f t="shared" si="2"/>
        <v>5</v>
      </c>
      <c r="H137" s="2">
        <f t="shared" si="5"/>
        <v>0</v>
      </c>
      <c r="I137" s="2">
        <f t="shared" si="6"/>
        <v>1</v>
      </c>
      <c r="Q137" s="26"/>
      <c r="R137" s="26"/>
      <c r="S137" s="26"/>
      <c r="U137" s="26"/>
      <c r="V137" s="26"/>
      <c r="W137" s="26"/>
      <c r="Y137" s="26"/>
      <c r="Z137" s="26"/>
      <c r="AA137" s="26"/>
    </row>
    <row r="138" ht="15.75" customHeight="1">
      <c r="A138" s="2">
        <f t="shared" si="7"/>
        <v>137</v>
      </c>
      <c r="B138" s="19">
        <v>2.0</v>
      </c>
      <c r="C138" s="2">
        <f t="shared" si="3"/>
        <v>750</v>
      </c>
      <c r="D138" s="9">
        <v>1.0</v>
      </c>
      <c r="E138" s="2">
        <f t="shared" si="4"/>
        <v>753</v>
      </c>
      <c r="F138" s="2">
        <f t="shared" si="1"/>
        <v>754</v>
      </c>
      <c r="G138" s="2">
        <f t="shared" si="2"/>
        <v>4</v>
      </c>
      <c r="H138" s="2">
        <f t="shared" si="5"/>
        <v>0</v>
      </c>
      <c r="I138" s="2">
        <f t="shared" si="6"/>
        <v>3</v>
      </c>
      <c r="Q138" s="26"/>
      <c r="R138" s="26"/>
      <c r="S138" s="26"/>
      <c r="U138" s="26"/>
      <c r="V138" s="26"/>
      <c r="W138" s="26"/>
      <c r="Y138" s="26"/>
      <c r="Z138" s="26"/>
      <c r="AA138" s="26"/>
    </row>
    <row r="139" ht="15.75" customHeight="1">
      <c r="A139" s="2">
        <f t="shared" si="7"/>
        <v>138</v>
      </c>
      <c r="B139" s="19">
        <v>8.0</v>
      </c>
      <c r="C139" s="2">
        <f t="shared" si="3"/>
        <v>758</v>
      </c>
      <c r="D139" s="9">
        <v>5.0</v>
      </c>
      <c r="E139" s="2">
        <f t="shared" si="4"/>
        <v>758</v>
      </c>
      <c r="F139" s="2">
        <f t="shared" si="1"/>
        <v>763</v>
      </c>
      <c r="G139" s="2">
        <f t="shared" si="2"/>
        <v>5</v>
      </c>
      <c r="H139" s="2">
        <f t="shared" si="5"/>
        <v>4</v>
      </c>
      <c r="I139" s="2">
        <f t="shared" si="6"/>
        <v>0</v>
      </c>
      <c r="Q139" s="26"/>
      <c r="R139" s="26"/>
      <c r="S139" s="26"/>
      <c r="U139" s="26"/>
      <c r="V139" s="26"/>
      <c r="W139" s="26"/>
      <c r="Y139" s="26"/>
      <c r="Z139" s="26"/>
      <c r="AA139" s="26"/>
    </row>
    <row r="140" ht="15.75" customHeight="1">
      <c r="A140" s="2">
        <f t="shared" si="7"/>
        <v>139</v>
      </c>
      <c r="B140" s="19">
        <v>4.0</v>
      </c>
      <c r="C140" s="2">
        <f t="shared" si="3"/>
        <v>762</v>
      </c>
      <c r="D140" s="9">
        <v>6.0</v>
      </c>
      <c r="E140" s="2">
        <f t="shared" si="4"/>
        <v>763</v>
      </c>
      <c r="F140" s="2">
        <f t="shared" si="1"/>
        <v>769</v>
      </c>
      <c r="G140" s="2">
        <f t="shared" si="2"/>
        <v>7</v>
      </c>
      <c r="H140" s="2">
        <f t="shared" si="5"/>
        <v>0</v>
      </c>
      <c r="I140" s="2">
        <f t="shared" si="6"/>
        <v>1</v>
      </c>
      <c r="Q140" s="26"/>
      <c r="R140" s="26"/>
      <c r="S140" s="26"/>
      <c r="U140" s="26"/>
      <c r="V140" s="26"/>
      <c r="W140" s="26"/>
      <c r="Y140" s="26"/>
      <c r="Z140" s="26"/>
      <c r="AA140" s="26"/>
    </row>
    <row r="141" ht="15.75" customHeight="1">
      <c r="A141" s="2">
        <f t="shared" si="7"/>
        <v>140</v>
      </c>
      <c r="B141" s="19">
        <v>3.0</v>
      </c>
      <c r="C141" s="2">
        <f t="shared" si="3"/>
        <v>765</v>
      </c>
      <c r="D141" s="9">
        <v>2.0</v>
      </c>
      <c r="E141" s="2">
        <f t="shared" si="4"/>
        <v>769</v>
      </c>
      <c r="F141" s="2">
        <f t="shared" si="1"/>
        <v>771</v>
      </c>
      <c r="G141" s="2">
        <f t="shared" si="2"/>
        <v>6</v>
      </c>
      <c r="H141" s="2">
        <f t="shared" si="5"/>
        <v>0</v>
      </c>
      <c r="I141" s="2">
        <f t="shared" si="6"/>
        <v>4</v>
      </c>
      <c r="Q141" s="26"/>
      <c r="R141" s="26"/>
      <c r="S141" s="26"/>
      <c r="U141" s="26"/>
      <c r="V141" s="26"/>
      <c r="W141" s="26"/>
      <c r="Y141" s="26"/>
      <c r="Z141" s="26"/>
      <c r="AA141" s="26"/>
    </row>
    <row r="142" ht="15.75" customHeight="1">
      <c r="A142" s="2">
        <f t="shared" si="7"/>
        <v>141</v>
      </c>
      <c r="B142" s="19">
        <v>5.0</v>
      </c>
      <c r="C142" s="2">
        <f t="shared" si="3"/>
        <v>770</v>
      </c>
      <c r="D142" s="9">
        <v>3.0</v>
      </c>
      <c r="E142" s="2">
        <f t="shared" si="4"/>
        <v>771</v>
      </c>
      <c r="F142" s="2">
        <f t="shared" si="1"/>
        <v>774</v>
      </c>
      <c r="G142" s="2">
        <f t="shared" si="2"/>
        <v>4</v>
      </c>
      <c r="H142" s="2">
        <f t="shared" si="5"/>
        <v>0</v>
      </c>
      <c r="I142" s="2">
        <f t="shared" si="6"/>
        <v>1</v>
      </c>
      <c r="Q142" s="26"/>
      <c r="R142" s="26"/>
      <c r="S142" s="26"/>
      <c r="U142" s="26"/>
      <c r="V142" s="26"/>
      <c r="W142" s="26"/>
      <c r="Y142" s="26"/>
      <c r="Z142" s="26"/>
      <c r="AA142" s="26"/>
    </row>
    <row r="143" ht="15.75" customHeight="1">
      <c r="A143" s="2">
        <f t="shared" si="7"/>
        <v>142</v>
      </c>
      <c r="B143" s="19">
        <v>9.0</v>
      </c>
      <c r="C143" s="2">
        <f t="shared" si="3"/>
        <v>779</v>
      </c>
      <c r="D143" s="9">
        <v>1.0</v>
      </c>
      <c r="E143" s="2">
        <f t="shared" si="4"/>
        <v>779</v>
      </c>
      <c r="F143" s="2">
        <f t="shared" si="1"/>
        <v>780</v>
      </c>
      <c r="G143" s="2">
        <f t="shared" si="2"/>
        <v>1</v>
      </c>
      <c r="H143" s="2">
        <f t="shared" si="5"/>
        <v>5</v>
      </c>
      <c r="I143" s="2">
        <f t="shared" si="6"/>
        <v>0</v>
      </c>
      <c r="Q143" s="26"/>
      <c r="R143" s="26"/>
      <c r="S143" s="26"/>
      <c r="U143" s="26"/>
      <c r="V143" s="26"/>
      <c r="W143" s="26"/>
      <c r="Y143" s="26"/>
      <c r="Z143" s="26"/>
      <c r="AA143" s="26"/>
    </row>
    <row r="144" ht="15.75" customHeight="1">
      <c r="A144" s="2">
        <f t="shared" si="7"/>
        <v>143</v>
      </c>
      <c r="B144" s="19">
        <v>7.0</v>
      </c>
      <c r="C144" s="2">
        <f t="shared" si="3"/>
        <v>786</v>
      </c>
      <c r="D144" s="9">
        <v>6.0</v>
      </c>
      <c r="E144" s="2">
        <f t="shared" si="4"/>
        <v>786</v>
      </c>
      <c r="F144" s="2">
        <f t="shared" si="1"/>
        <v>792</v>
      </c>
      <c r="G144" s="2">
        <f t="shared" si="2"/>
        <v>6</v>
      </c>
      <c r="H144" s="2">
        <f t="shared" si="5"/>
        <v>6</v>
      </c>
      <c r="I144" s="2">
        <f t="shared" si="6"/>
        <v>0</v>
      </c>
      <c r="Q144" s="26"/>
      <c r="R144" s="26"/>
      <c r="S144" s="26"/>
      <c r="U144" s="26"/>
      <c r="V144" s="26"/>
      <c r="W144" s="26"/>
      <c r="Y144" s="26"/>
      <c r="Z144" s="26"/>
      <c r="AA144" s="26"/>
    </row>
    <row r="145" ht="15.75" customHeight="1">
      <c r="A145" s="2">
        <f t="shared" si="7"/>
        <v>144</v>
      </c>
      <c r="B145" s="19">
        <v>10.0</v>
      </c>
      <c r="C145" s="2">
        <f t="shared" si="3"/>
        <v>796</v>
      </c>
      <c r="D145" s="9">
        <v>4.0</v>
      </c>
      <c r="E145" s="2">
        <f t="shared" si="4"/>
        <v>796</v>
      </c>
      <c r="F145" s="2">
        <f t="shared" si="1"/>
        <v>800</v>
      </c>
      <c r="G145" s="2">
        <f t="shared" si="2"/>
        <v>4</v>
      </c>
      <c r="H145" s="2">
        <f t="shared" si="5"/>
        <v>4</v>
      </c>
      <c r="I145" s="2">
        <f t="shared" si="6"/>
        <v>0</v>
      </c>
      <c r="Q145" s="26"/>
      <c r="R145" s="26"/>
      <c r="S145" s="26"/>
      <c r="U145" s="26"/>
      <c r="V145" s="26"/>
      <c r="W145" s="26"/>
      <c r="Y145" s="26"/>
      <c r="Z145" s="26"/>
      <c r="AA145" s="26"/>
    </row>
    <row r="146" ht="15.75" customHeight="1">
      <c r="A146" s="2">
        <f t="shared" si="7"/>
        <v>145</v>
      </c>
      <c r="B146" s="19">
        <v>1.0</v>
      </c>
      <c r="C146" s="2">
        <f t="shared" si="3"/>
        <v>797</v>
      </c>
      <c r="D146" s="9">
        <v>5.0</v>
      </c>
      <c r="E146" s="2">
        <f t="shared" si="4"/>
        <v>800</v>
      </c>
      <c r="F146" s="2">
        <f t="shared" si="1"/>
        <v>805</v>
      </c>
      <c r="G146" s="2">
        <f t="shared" si="2"/>
        <v>8</v>
      </c>
      <c r="H146" s="2">
        <f t="shared" si="5"/>
        <v>0</v>
      </c>
      <c r="I146" s="2">
        <f t="shared" si="6"/>
        <v>3</v>
      </c>
      <c r="Q146" s="26"/>
      <c r="R146" s="26"/>
      <c r="S146" s="26"/>
      <c r="U146" s="26"/>
      <c r="V146" s="26"/>
      <c r="W146" s="26"/>
      <c r="Y146" s="26"/>
      <c r="Z146" s="26"/>
      <c r="AA146" s="26"/>
    </row>
    <row r="147" ht="15.75" customHeight="1">
      <c r="A147" s="2">
        <f t="shared" si="7"/>
        <v>146</v>
      </c>
      <c r="B147" s="19">
        <v>6.0</v>
      </c>
      <c r="C147" s="2">
        <f t="shared" si="3"/>
        <v>803</v>
      </c>
      <c r="D147" s="9">
        <v>2.0</v>
      </c>
      <c r="E147" s="2">
        <f t="shared" si="4"/>
        <v>805</v>
      </c>
      <c r="F147" s="2">
        <f t="shared" si="1"/>
        <v>807</v>
      </c>
      <c r="G147" s="2">
        <f t="shared" si="2"/>
        <v>4</v>
      </c>
      <c r="H147" s="2">
        <f t="shared" si="5"/>
        <v>0</v>
      </c>
      <c r="I147" s="2">
        <f t="shared" si="6"/>
        <v>2</v>
      </c>
      <c r="Q147" s="26"/>
      <c r="R147" s="26"/>
      <c r="S147" s="26"/>
      <c r="U147" s="26"/>
      <c r="V147" s="26"/>
      <c r="W147" s="26"/>
      <c r="Y147" s="26"/>
      <c r="Z147" s="26"/>
      <c r="AA147" s="26"/>
    </row>
    <row r="148" ht="15.75" customHeight="1">
      <c r="A148" s="2">
        <f t="shared" si="7"/>
        <v>147</v>
      </c>
      <c r="B148" s="19">
        <v>2.0</v>
      </c>
      <c r="C148" s="2">
        <f t="shared" si="3"/>
        <v>805</v>
      </c>
      <c r="D148" s="9">
        <v>3.0</v>
      </c>
      <c r="E148" s="2">
        <f t="shared" si="4"/>
        <v>807</v>
      </c>
      <c r="F148" s="2">
        <f t="shared" si="1"/>
        <v>810</v>
      </c>
      <c r="G148" s="2">
        <f t="shared" si="2"/>
        <v>5</v>
      </c>
      <c r="H148" s="2">
        <f t="shared" si="5"/>
        <v>0</v>
      </c>
      <c r="I148" s="2">
        <f t="shared" si="6"/>
        <v>2</v>
      </c>
      <c r="Q148" s="26"/>
      <c r="R148" s="26"/>
      <c r="S148" s="26"/>
      <c r="U148" s="26"/>
      <c r="V148" s="26"/>
      <c r="W148" s="26"/>
      <c r="Y148" s="26"/>
      <c r="Z148" s="26"/>
      <c r="AA148" s="26"/>
    </row>
    <row r="149" ht="15.75" customHeight="1">
      <c r="A149" s="2">
        <f t="shared" si="7"/>
        <v>148</v>
      </c>
      <c r="B149" s="19">
        <v>8.0</v>
      </c>
      <c r="C149" s="2">
        <f t="shared" si="3"/>
        <v>813</v>
      </c>
      <c r="D149" s="9">
        <v>6.0</v>
      </c>
      <c r="E149" s="2">
        <f t="shared" si="4"/>
        <v>813</v>
      </c>
      <c r="F149" s="2">
        <f t="shared" si="1"/>
        <v>819</v>
      </c>
      <c r="G149" s="2">
        <f t="shared" si="2"/>
        <v>6</v>
      </c>
      <c r="H149" s="2">
        <f t="shared" si="5"/>
        <v>3</v>
      </c>
      <c r="I149" s="2">
        <f t="shared" si="6"/>
        <v>0</v>
      </c>
      <c r="Q149" s="26"/>
      <c r="R149" s="26"/>
      <c r="S149" s="26"/>
      <c r="U149" s="26"/>
      <c r="V149" s="26"/>
      <c r="W149" s="26"/>
      <c r="Y149" s="26"/>
      <c r="Z149" s="26"/>
      <c r="AA149" s="26"/>
    </row>
    <row r="150" ht="15.75" customHeight="1">
      <c r="A150" s="2">
        <f t="shared" si="7"/>
        <v>149</v>
      </c>
      <c r="B150" s="19">
        <v>4.0</v>
      </c>
      <c r="C150" s="2">
        <f t="shared" si="3"/>
        <v>817</v>
      </c>
      <c r="D150" s="9">
        <v>1.0</v>
      </c>
      <c r="E150" s="2">
        <f t="shared" si="4"/>
        <v>819</v>
      </c>
      <c r="F150" s="2">
        <f t="shared" si="1"/>
        <v>820</v>
      </c>
      <c r="G150" s="2">
        <f t="shared" si="2"/>
        <v>3</v>
      </c>
      <c r="H150" s="2">
        <f t="shared" si="5"/>
        <v>0</v>
      </c>
      <c r="I150" s="2">
        <f t="shared" si="6"/>
        <v>2</v>
      </c>
      <c r="Q150" s="26"/>
      <c r="R150" s="26"/>
      <c r="S150" s="26"/>
      <c r="U150" s="26"/>
      <c r="V150" s="26"/>
      <c r="W150" s="26"/>
      <c r="Y150" s="26"/>
      <c r="Z150" s="26"/>
      <c r="AA150" s="26"/>
    </row>
    <row r="151" ht="15.75" customHeight="1">
      <c r="A151" s="2">
        <f t="shared" si="7"/>
        <v>150</v>
      </c>
      <c r="B151" s="19">
        <v>3.0</v>
      </c>
      <c r="C151" s="2">
        <f t="shared" si="3"/>
        <v>820</v>
      </c>
      <c r="D151" s="9">
        <v>4.0</v>
      </c>
      <c r="E151" s="2">
        <f t="shared" si="4"/>
        <v>820</v>
      </c>
      <c r="F151" s="2">
        <f t="shared" si="1"/>
        <v>824</v>
      </c>
      <c r="G151" s="2">
        <f t="shared" si="2"/>
        <v>4</v>
      </c>
      <c r="H151" s="2">
        <f t="shared" si="5"/>
        <v>0</v>
      </c>
      <c r="I151" s="2">
        <f t="shared" si="6"/>
        <v>0</v>
      </c>
      <c r="Q151" s="26"/>
      <c r="R151" s="26"/>
      <c r="S151" s="26"/>
      <c r="U151" s="26"/>
      <c r="V151" s="26"/>
      <c r="W151" s="26"/>
      <c r="Y151" s="26"/>
      <c r="Z151" s="26"/>
      <c r="AA151" s="26"/>
    </row>
    <row r="152" ht="15.75" customHeight="1">
      <c r="A152" s="2">
        <f t="shared" si="7"/>
        <v>151</v>
      </c>
      <c r="B152" s="19">
        <v>5.0</v>
      </c>
      <c r="C152" s="2">
        <f t="shared" si="3"/>
        <v>825</v>
      </c>
      <c r="D152" s="9">
        <v>2.0</v>
      </c>
      <c r="E152" s="2">
        <f t="shared" si="4"/>
        <v>825</v>
      </c>
      <c r="F152" s="2">
        <f t="shared" si="1"/>
        <v>827</v>
      </c>
      <c r="G152" s="2">
        <f t="shared" si="2"/>
        <v>2</v>
      </c>
      <c r="H152" s="2">
        <f t="shared" si="5"/>
        <v>1</v>
      </c>
      <c r="I152" s="2">
        <f t="shared" si="6"/>
        <v>0</v>
      </c>
      <c r="Q152" s="26"/>
      <c r="R152" s="26"/>
      <c r="S152" s="26"/>
      <c r="U152" s="26"/>
      <c r="V152" s="26"/>
      <c r="W152" s="26"/>
      <c r="Y152" s="26"/>
      <c r="Z152" s="26"/>
      <c r="AA152" s="26"/>
    </row>
    <row r="153" ht="15.75" customHeight="1">
      <c r="A153" s="2">
        <f t="shared" si="7"/>
        <v>152</v>
      </c>
      <c r="B153" s="19">
        <v>9.0</v>
      </c>
      <c r="C153" s="2">
        <f t="shared" si="3"/>
        <v>834</v>
      </c>
      <c r="D153" s="9">
        <v>5.0</v>
      </c>
      <c r="E153" s="2">
        <f t="shared" si="4"/>
        <v>834</v>
      </c>
      <c r="F153" s="2">
        <f t="shared" si="1"/>
        <v>839</v>
      </c>
      <c r="G153" s="2">
        <f t="shared" si="2"/>
        <v>5</v>
      </c>
      <c r="H153" s="2">
        <f t="shared" si="5"/>
        <v>7</v>
      </c>
      <c r="I153" s="2">
        <f t="shared" si="6"/>
        <v>0</v>
      </c>
      <c r="Q153" s="26"/>
      <c r="R153" s="26"/>
      <c r="S153" s="26"/>
      <c r="U153" s="26"/>
      <c r="V153" s="26"/>
      <c r="W153" s="26"/>
      <c r="Y153" s="26"/>
      <c r="Z153" s="26"/>
      <c r="AA153" s="26"/>
    </row>
    <row r="154" ht="15.75" customHeight="1">
      <c r="A154" s="2">
        <f t="shared" si="7"/>
        <v>153</v>
      </c>
      <c r="B154" s="19">
        <v>7.0</v>
      </c>
      <c r="C154" s="2">
        <f t="shared" si="3"/>
        <v>841</v>
      </c>
      <c r="D154" s="9">
        <v>3.0</v>
      </c>
      <c r="E154" s="2">
        <f t="shared" si="4"/>
        <v>841</v>
      </c>
      <c r="F154" s="2">
        <f t="shared" si="1"/>
        <v>844</v>
      </c>
      <c r="G154" s="2">
        <f t="shared" si="2"/>
        <v>3</v>
      </c>
      <c r="H154" s="2">
        <f t="shared" si="5"/>
        <v>2</v>
      </c>
      <c r="I154" s="2">
        <f t="shared" si="6"/>
        <v>0</v>
      </c>
      <c r="Q154" s="26"/>
      <c r="R154" s="26"/>
      <c r="S154" s="26"/>
      <c r="U154" s="26"/>
      <c r="V154" s="26"/>
      <c r="W154" s="26"/>
      <c r="Y154" s="26"/>
      <c r="Z154" s="26"/>
      <c r="AA154" s="26"/>
    </row>
    <row r="155" ht="15.75" customHeight="1">
      <c r="A155" s="2">
        <f t="shared" si="7"/>
        <v>154</v>
      </c>
      <c r="B155" s="19">
        <v>10.0</v>
      </c>
      <c r="C155" s="2">
        <f t="shared" si="3"/>
        <v>851</v>
      </c>
      <c r="D155" s="9">
        <v>6.0</v>
      </c>
      <c r="E155" s="2">
        <f t="shared" si="4"/>
        <v>851</v>
      </c>
      <c r="F155" s="2">
        <f t="shared" si="1"/>
        <v>857</v>
      </c>
      <c r="G155" s="2">
        <f t="shared" si="2"/>
        <v>6</v>
      </c>
      <c r="H155" s="2">
        <f t="shared" si="5"/>
        <v>7</v>
      </c>
      <c r="I155" s="2">
        <f t="shared" si="6"/>
        <v>0</v>
      </c>
      <c r="Q155" s="26"/>
      <c r="R155" s="26"/>
      <c r="S155" s="26"/>
      <c r="U155" s="26"/>
      <c r="V155" s="26"/>
      <c r="W155" s="26"/>
      <c r="Y155" s="26"/>
      <c r="Z155" s="26"/>
      <c r="AA155" s="26"/>
    </row>
    <row r="156" ht="15.75" customHeight="1">
      <c r="A156" s="2">
        <f t="shared" si="7"/>
        <v>155</v>
      </c>
      <c r="B156" s="19">
        <v>1.0</v>
      </c>
      <c r="C156" s="2">
        <f t="shared" si="3"/>
        <v>852</v>
      </c>
      <c r="D156" s="9">
        <v>1.0</v>
      </c>
      <c r="E156" s="2">
        <f t="shared" si="4"/>
        <v>857</v>
      </c>
      <c r="F156" s="2">
        <f t="shared" si="1"/>
        <v>858</v>
      </c>
      <c r="G156" s="2">
        <f t="shared" si="2"/>
        <v>6</v>
      </c>
      <c r="H156" s="2">
        <f t="shared" si="5"/>
        <v>0</v>
      </c>
      <c r="I156" s="2">
        <f t="shared" si="6"/>
        <v>5</v>
      </c>
      <c r="Q156" s="26"/>
      <c r="R156" s="26"/>
      <c r="S156" s="26"/>
      <c r="U156" s="26"/>
      <c r="V156" s="26"/>
      <c r="W156" s="26"/>
      <c r="Y156" s="26"/>
      <c r="Z156" s="26"/>
      <c r="AA156" s="26"/>
    </row>
    <row r="157" ht="15.75" customHeight="1">
      <c r="A157" s="2">
        <f t="shared" si="7"/>
        <v>156</v>
      </c>
      <c r="B157" s="19">
        <v>6.0</v>
      </c>
      <c r="C157" s="2">
        <f t="shared" si="3"/>
        <v>858</v>
      </c>
      <c r="D157" s="9">
        <v>4.0</v>
      </c>
      <c r="E157" s="2">
        <f t="shared" si="4"/>
        <v>858</v>
      </c>
      <c r="F157" s="2">
        <f t="shared" si="1"/>
        <v>862</v>
      </c>
      <c r="G157" s="2">
        <f t="shared" si="2"/>
        <v>4</v>
      </c>
      <c r="H157" s="2">
        <f t="shared" si="5"/>
        <v>0</v>
      </c>
      <c r="I157" s="2">
        <f t="shared" si="6"/>
        <v>0</v>
      </c>
      <c r="Q157" s="26"/>
      <c r="R157" s="26"/>
      <c r="S157" s="26"/>
      <c r="U157" s="26"/>
      <c r="V157" s="26"/>
      <c r="W157" s="26"/>
      <c r="Y157" s="26"/>
      <c r="Z157" s="26"/>
      <c r="AA157" s="26"/>
    </row>
    <row r="158" ht="15.75" customHeight="1">
      <c r="A158" s="2">
        <f t="shared" si="7"/>
        <v>157</v>
      </c>
      <c r="B158" s="19">
        <v>2.0</v>
      </c>
      <c r="C158" s="2">
        <f t="shared" si="3"/>
        <v>860</v>
      </c>
      <c r="D158" s="9">
        <v>6.0</v>
      </c>
      <c r="E158" s="2">
        <f t="shared" si="4"/>
        <v>862</v>
      </c>
      <c r="F158" s="2">
        <f t="shared" si="1"/>
        <v>868</v>
      </c>
      <c r="G158" s="2">
        <f t="shared" si="2"/>
        <v>8</v>
      </c>
      <c r="H158" s="2">
        <f t="shared" si="5"/>
        <v>0</v>
      </c>
      <c r="I158" s="2">
        <f t="shared" si="6"/>
        <v>2</v>
      </c>
      <c r="Q158" s="26"/>
      <c r="R158" s="26"/>
      <c r="S158" s="26"/>
      <c r="U158" s="26"/>
      <c r="V158" s="26"/>
      <c r="W158" s="26"/>
      <c r="Y158" s="26"/>
      <c r="Z158" s="26"/>
      <c r="AA158" s="26"/>
    </row>
    <row r="159" ht="15.75" customHeight="1">
      <c r="A159" s="2">
        <f t="shared" si="7"/>
        <v>158</v>
      </c>
      <c r="B159" s="19">
        <v>8.0</v>
      </c>
      <c r="C159" s="2">
        <f t="shared" si="3"/>
        <v>868</v>
      </c>
      <c r="D159" s="9">
        <v>2.0</v>
      </c>
      <c r="E159" s="2">
        <f t="shared" si="4"/>
        <v>868</v>
      </c>
      <c r="F159" s="2">
        <f t="shared" si="1"/>
        <v>870</v>
      </c>
      <c r="G159" s="2">
        <f t="shared" si="2"/>
        <v>2</v>
      </c>
      <c r="H159" s="2">
        <f t="shared" si="5"/>
        <v>0</v>
      </c>
      <c r="I159" s="2">
        <f t="shared" si="6"/>
        <v>0</v>
      </c>
      <c r="Q159" s="26"/>
      <c r="R159" s="26"/>
      <c r="S159" s="26"/>
      <c r="U159" s="26"/>
      <c r="V159" s="26"/>
      <c r="W159" s="26"/>
      <c r="Y159" s="26"/>
      <c r="Z159" s="26"/>
      <c r="AA159" s="26"/>
    </row>
    <row r="160" ht="15.75" customHeight="1">
      <c r="A160" s="2">
        <f t="shared" si="7"/>
        <v>159</v>
      </c>
      <c r="B160" s="19">
        <v>4.0</v>
      </c>
      <c r="C160" s="2">
        <f t="shared" si="3"/>
        <v>872</v>
      </c>
      <c r="D160" s="9">
        <v>5.0</v>
      </c>
      <c r="E160" s="2">
        <f t="shared" si="4"/>
        <v>872</v>
      </c>
      <c r="F160" s="2">
        <f t="shared" si="1"/>
        <v>877</v>
      </c>
      <c r="G160" s="2">
        <f t="shared" si="2"/>
        <v>5</v>
      </c>
      <c r="H160" s="2">
        <f t="shared" si="5"/>
        <v>2</v>
      </c>
      <c r="I160" s="2">
        <f t="shared" si="6"/>
        <v>0</v>
      </c>
      <c r="Q160" s="26"/>
      <c r="R160" s="26"/>
      <c r="S160" s="26"/>
      <c r="U160" s="26"/>
      <c r="V160" s="26"/>
      <c r="W160" s="26"/>
      <c r="Y160" s="26"/>
      <c r="Z160" s="26"/>
      <c r="AA160" s="26"/>
    </row>
    <row r="161" ht="15.75" customHeight="1">
      <c r="A161" s="2">
        <f t="shared" si="7"/>
        <v>160</v>
      </c>
      <c r="B161" s="19">
        <v>3.0</v>
      </c>
      <c r="C161" s="2">
        <f t="shared" si="3"/>
        <v>875</v>
      </c>
      <c r="D161" s="9">
        <v>3.0</v>
      </c>
      <c r="E161" s="2">
        <f t="shared" si="4"/>
        <v>877</v>
      </c>
      <c r="F161" s="2">
        <f t="shared" si="1"/>
        <v>880</v>
      </c>
      <c r="G161" s="2">
        <f t="shared" si="2"/>
        <v>5</v>
      </c>
      <c r="H161" s="2">
        <f t="shared" si="5"/>
        <v>0</v>
      </c>
      <c r="I161" s="2">
        <f t="shared" si="6"/>
        <v>2</v>
      </c>
      <c r="Q161" s="26"/>
      <c r="R161" s="26"/>
      <c r="S161" s="26"/>
      <c r="U161" s="26"/>
      <c r="V161" s="26"/>
      <c r="W161" s="26"/>
      <c r="Y161" s="26"/>
      <c r="Z161" s="26"/>
      <c r="AA161" s="26"/>
    </row>
    <row r="162" ht="15.75" customHeight="1">
      <c r="A162" s="2">
        <f t="shared" si="7"/>
        <v>161</v>
      </c>
      <c r="B162" s="19">
        <v>5.0</v>
      </c>
      <c r="C162" s="2">
        <f t="shared" si="3"/>
        <v>880</v>
      </c>
      <c r="D162" s="9">
        <v>1.0</v>
      </c>
      <c r="E162" s="2">
        <f t="shared" si="4"/>
        <v>880</v>
      </c>
      <c r="F162" s="2">
        <f t="shared" si="1"/>
        <v>881</v>
      </c>
      <c r="G162" s="2">
        <f t="shared" si="2"/>
        <v>1</v>
      </c>
      <c r="H162" s="2">
        <f t="shared" si="5"/>
        <v>0</v>
      </c>
      <c r="I162" s="2">
        <f t="shared" si="6"/>
        <v>0</v>
      </c>
      <c r="Q162" s="26"/>
      <c r="R162" s="26"/>
      <c r="S162" s="26"/>
      <c r="U162" s="26"/>
      <c r="V162" s="26"/>
      <c r="W162" s="26"/>
      <c r="Y162" s="26"/>
      <c r="Z162" s="26"/>
      <c r="AA162" s="26"/>
    </row>
    <row r="163" ht="15.75" customHeight="1">
      <c r="A163" s="2">
        <f t="shared" si="7"/>
        <v>162</v>
      </c>
      <c r="B163" s="19">
        <v>9.0</v>
      </c>
      <c r="C163" s="2">
        <f t="shared" si="3"/>
        <v>889</v>
      </c>
      <c r="D163" s="9">
        <v>6.0</v>
      </c>
      <c r="E163" s="2">
        <f t="shared" si="4"/>
        <v>889</v>
      </c>
      <c r="F163" s="2">
        <f t="shared" si="1"/>
        <v>895</v>
      </c>
      <c r="G163" s="2">
        <f t="shared" si="2"/>
        <v>6</v>
      </c>
      <c r="H163" s="2">
        <f t="shared" si="5"/>
        <v>8</v>
      </c>
      <c r="I163" s="2">
        <f t="shared" si="6"/>
        <v>0</v>
      </c>
      <c r="Q163" s="26"/>
      <c r="R163" s="26"/>
      <c r="S163" s="26"/>
      <c r="U163" s="26"/>
      <c r="V163" s="26"/>
      <c r="W163" s="26"/>
      <c r="Y163" s="26"/>
      <c r="Z163" s="26"/>
      <c r="AA163" s="26"/>
    </row>
    <row r="164" ht="15.75" customHeight="1">
      <c r="A164" s="2">
        <f t="shared" si="7"/>
        <v>163</v>
      </c>
      <c r="B164" s="19">
        <v>7.0</v>
      </c>
      <c r="C164" s="2">
        <f t="shared" si="3"/>
        <v>896</v>
      </c>
      <c r="D164" s="9">
        <v>4.0</v>
      </c>
      <c r="E164" s="2">
        <f t="shared" si="4"/>
        <v>896</v>
      </c>
      <c r="F164" s="2">
        <f t="shared" si="1"/>
        <v>900</v>
      </c>
      <c r="G164" s="2">
        <f t="shared" si="2"/>
        <v>4</v>
      </c>
      <c r="H164" s="2">
        <f t="shared" si="5"/>
        <v>1</v>
      </c>
      <c r="I164" s="2">
        <f t="shared" si="6"/>
        <v>0</v>
      </c>
      <c r="Q164" s="26"/>
      <c r="R164" s="26"/>
      <c r="S164" s="26"/>
      <c r="U164" s="26"/>
      <c r="V164" s="26"/>
      <c r="W164" s="26"/>
      <c r="Y164" s="26"/>
      <c r="Z164" s="26"/>
      <c r="AA164" s="26"/>
    </row>
    <row r="165" ht="15.75" customHeight="1">
      <c r="A165" s="2">
        <f t="shared" si="7"/>
        <v>164</v>
      </c>
      <c r="B165" s="19">
        <v>10.0</v>
      </c>
      <c r="C165" s="2">
        <f t="shared" si="3"/>
        <v>906</v>
      </c>
      <c r="D165" s="9">
        <v>2.0</v>
      </c>
      <c r="E165" s="2">
        <f t="shared" si="4"/>
        <v>906</v>
      </c>
      <c r="F165" s="2">
        <f t="shared" si="1"/>
        <v>908</v>
      </c>
      <c r="G165" s="2">
        <f t="shared" si="2"/>
        <v>2</v>
      </c>
      <c r="H165" s="2">
        <f t="shared" si="5"/>
        <v>6</v>
      </c>
      <c r="I165" s="2">
        <f t="shared" si="6"/>
        <v>0</v>
      </c>
      <c r="Q165" s="26"/>
      <c r="R165" s="26"/>
      <c r="S165" s="26"/>
      <c r="U165" s="26"/>
      <c r="V165" s="26"/>
      <c r="W165" s="26"/>
      <c r="Y165" s="26"/>
      <c r="Z165" s="26"/>
      <c r="AA165" s="26"/>
    </row>
    <row r="166" ht="15.75" customHeight="1">
      <c r="A166" s="2">
        <f t="shared" si="7"/>
        <v>165</v>
      </c>
      <c r="B166" s="19">
        <v>1.0</v>
      </c>
      <c r="C166" s="2">
        <f t="shared" si="3"/>
        <v>907</v>
      </c>
      <c r="D166" s="9">
        <v>5.0</v>
      </c>
      <c r="E166" s="2">
        <f t="shared" si="4"/>
        <v>908</v>
      </c>
      <c r="F166" s="2">
        <f t="shared" si="1"/>
        <v>913</v>
      </c>
      <c r="G166" s="2">
        <f t="shared" si="2"/>
        <v>6</v>
      </c>
      <c r="H166" s="2">
        <f t="shared" si="5"/>
        <v>0</v>
      </c>
      <c r="I166" s="2">
        <f t="shared" si="6"/>
        <v>1</v>
      </c>
      <c r="Q166" s="26"/>
      <c r="R166" s="26"/>
      <c r="S166" s="26"/>
      <c r="U166" s="26"/>
      <c r="V166" s="26"/>
      <c r="W166" s="26"/>
      <c r="Y166" s="26"/>
      <c r="Z166" s="26"/>
      <c r="AA166" s="26"/>
    </row>
    <row r="167" ht="15.75" customHeight="1">
      <c r="A167" s="2">
        <f t="shared" si="7"/>
        <v>166</v>
      </c>
      <c r="B167" s="19">
        <v>6.0</v>
      </c>
      <c r="C167" s="2">
        <f t="shared" si="3"/>
        <v>913</v>
      </c>
      <c r="D167" s="9">
        <v>3.0</v>
      </c>
      <c r="E167" s="2">
        <f t="shared" si="4"/>
        <v>913</v>
      </c>
      <c r="F167" s="2">
        <f t="shared" si="1"/>
        <v>916</v>
      </c>
      <c r="G167" s="2">
        <f t="shared" si="2"/>
        <v>3</v>
      </c>
      <c r="H167" s="2">
        <f t="shared" si="5"/>
        <v>0</v>
      </c>
      <c r="I167" s="2">
        <f t="shared" si="6"/>
        <v>0</v>
      </c>
      <c r="Q167" s="26"/>
      <c r="R167" s="26"/>
      <c r="S167" s="26"/>
      <c r="U167" s="26"/>
      <c r="V167" s="26"/>
      <c r="W167" s="26"/>
      <c r="Y167" s="26"/>
      <c r="Z167" s="26"/>
      <c r="AA167" s="26"/>
    </row>
    <row r="168" ht="15.75" customHeight="1">
      <c r="A168" s="2">
        <f t="shared" si="7"/>
        <v>167</v>
      </c>
      <c r="B168" s="19">
        <v>2.0</v>
      </c>
      <c r="C168" s="2">
        <f t="shared" si="3"/>
        <v>915</v>
      </c>
      <c r="D168" s="9">
        <v>1.0</v>
      </c>
      <c r="E168" s="2">
        <f t="shared" si="4"/>
        <v>916</v>
      </c>
      <c r="F168" s="2">
        <f t="shared" si="1"/>
        <v>917</v>
      </c>
      <c r="G168" s="2">
        <f t="shared" si="2"/>
        <v>2</v>
      </c>
      <c r="H168" s="2">
        <f t="shared" si="5"/>
        <v>0</v>
      </c>
      <c r="I168" s="2">
        <f t="shared" si="6"/>
        <v>1</v>
      </c>
      <c r="Q168" s="26"/>
      <c r="R168" s="26"/>
      <c r="S168" s="26"/>
      <c r="U168" s="26"/>
      <c r="V168" s="26"/>
      <c r="W168" s="26"/>
      <c r="Y168" s="26"/>
      <c r="Z168" s="26"/>
      <c r="AA168" s="26"/>
    </row>
    <row r="169" ht="15.75" customHeight="1">
      <c r="A169" s="2">
        <f t="shared" si="7"/>
        <v>168</v>
      </c>
      <c r="B169" s="19">
        <v>8.0</v>
      </c>
      <c r="C169" s="2">
        <f t="shared" si="3"/>
        <v>923</v>
      </c>
      <c r="D169" s="9">
        <v>6.0</v>
      </c>
      <c r="E169" s="2">
        <f t="shared" si="4"/>
        <v>923</v>
      </c>
      <c r="F169" s="2">
        <f t="shared" si="1"/>
        <v>929</v>
      </c>
      <c r="G169" s="2">
        <f t="shared" si="2"/>
        <v>6</v>
      </c>
      <c r="H169" s="2">
        <f t="shared" si="5"/>
        <v>6</v>
      </c>
      <c r="I169" s="2">
        <f t="shared" si="6"/>
        <v>0</v>
      </c>
      <c r="Q169" s="26"/>
      <c r="R169" s="26"/>
      <c r="S169" s="26"/>
      <c r="U169" s="26"/>
      <c r="V169" s="26"/>
      <c r="W169" s="26"/>
      <c r="Y169" s="26"/>
      <c r="Z169" s="26"/>
      <c r="AA169" s="26"/>
    </row>
    <row r="170" ht="15.75" customHeight="1">
      <c r="A170" s="2">
        <f t="shared" si="7"/>
        <v>169</v>
      </c>
      <c r="B170" s="19">
        <v>4.0</v>
      </c>
      <c r="C170" s="2">
        <f t="shared" si="3"/>
        <v>927</v>
      </c>
      <c r="D170" s="9">
        <v>2.0</v>
      </c>
      <c r="E170" s="2">
        <f t="shared" si="4"/>
        <v>929</v>
      </c>
      <c r="F170" s="2">
        <f t="shared" si="1"/>
        <v>931</v>
      </c>
      <c r="G170" s="2">
        <f t="shared" si="2"/>
        <v>4</v>
      </c>
      <c r="H170" s="2">
        <f t="shared" si="5"/>
        <v>0</v>
      </c>
      <c r="I170" s="2">
        <f t="shared" si="6"/>
        <v>2</v>
      </c>
      <c r="Q170" s="26"/>
      <c r="R170" s="26"/>
      <c r="S170" s="26"/>
      <c r="U170" s="26"/>
      <c r="V170" s="26"/>
      <c r="W170" s="26"/>
      <c r="Y170" s="26"/>
      <c r="Z170" s="26"/>
      <c r="AA170" s="26"/>
    </row>
    <row r="171" ht="15.75" customHeight="1">
      <c r="A171" s="2">
        <f t="shared" si="7"/>
        <v>170</v>
      </c>
      <c r="B171" s="19">
        <v>3.0</v>
      </c>
      <c r="C171" s="2">
        <f t="shared" si="3"/>
        <v>930</v>
      </c>
      <c r="D171" s="9">
        <v>5.0</v>
      </c>
      <c r="E171" s="2">
        <f t="shared" si="4"/>
        <v>931</v>
      </c>
      <c r="F171" s="2">
        <f t="shared" si="1"/>
        <v>936</v>
      </c>
      <c r="G171" s="2">
        <f t="shared" si="2"/>
        <v>6</v>
      </c>
      <c r="H171" s="2">
        <f t="shared" si="5"/>
        <v>0</v>
      </c>
      <c r="I171" s="2">
        <f t="shared" si="6"/>
        <v>1</v>
      </c>
      <c r="Q171" s="26"/>
      <c r="R171" s="26"/>
      <c r="S171" s="26"/>
      <c r="U171" s="26"/>
      <c r="V171" s="26"/>
      <c r="W171" s="26"/>
      <c r="Y171" s="26"/>
      <c r="Z171" s="26"/>
      <c r="AA171" s="26"/>
    </row>
    <row r="172" ht="15.75" customHeight="1">
      <c r="A172" s="2">
        <f t="shared" si="7"/>
        <v>171</v>
      </c>
      <c r="B172" s="19">
        <v>5.0</v>
      </c>
      <c r="C172" s="2">
        <f t="shared" si="3"/>
        <v>935</v>
      </c>
      <c r="D172" s="9">
        <v>4.0</v>
      </c>
      <c r="E172" s="2">
        <f t="shared" si="4"/>
        <v>936</v>
      </c>
      <c r="F172" s="2">
        <f t="shared" si="1"/>
        <v>940</v>
      </c>
      <c r="G172" s="2">
        <f t="shared" si="2"/>
        <v>5</v>
      </c>
      <c r="H172" s="2">
        <f t="shared" si="5"/>
        <v>0</v>
      </c>
      <c r="I172" s="2">
        <f t="shared" si="6"/>
        <v>1</v>
      </c>
      <c r="Q172" s="26"/>
      <c r="R172" s="26"/>
      <c r="S172" s="26"/>
      <c r="U172" s="26"/>
      <c r="V172" s="26"/>
      <c r="W172" s="26"/>
      <c r="Y172" s="26"/>
      <c r="Z172" s="26"/>
      <c r="AA172" s="26"/>
    </row>
    <row r="173" ht="15.75" customHeight="1">
      <c r="A173" s="2">
        <f t="shared" si="7"/>
        <v>172</v>
      </c>
      <c r="B173" s="19">
        <v>9.0</v>
      </c>
      <c r="C173" s="2">
        <f t="shared" si="3"/>
        <v>944</v>
      </c>
      <c r="D173" s="9">
        <v>1.0</v>
      </c>
      <c r="E173" s="2">
        <f t="shared" si="4"/>
        <v>944</v>
      </c>
      <c r="F173" s="2">
        <f t="shared" si="1"/>
        <v>945</v>
      </c>
      <c r="G173" s="2">
        <f t="shared" si="2"/>
        <v>1</v>
      </c>
      <c r="H173" s="2">
        <f t="shared" si="5"/>
        <v>4</v>
      </c>
      <c r="I173" s="2">
        <f t="shared" si="6"/>
        <v>0</v>
      </c>
      <c r="Q173" s="26"/>
      <c r="R173" s="26"/>
      <c r="S173" s="26"/>
      <c r="U173" s="26"/>
      <c r="V173" s="26"/>
      <c r="W173" s="26"/>
      <c r="Y173" s="26"/>
      <c r="Z173" s="26"/>
      <c r="AA173" s="26"/>
    </row>
    <row r="174" ht="15.75" customHeight="1">
      <c r="A174" s="2">
        <f t="shared" si="7"/>
        <v>173</v>
      </c>
      <c r="B174" s="19">
        <v>7.0</v>
      </c>
      <c r="C174" s="2">
        <f t="shared" si="3"/>
        <v>951</v>
      </c>
      <c r="D174" s="9">
        <v>6.0</v>
      </c>
      <c r="E174" s="2">
        <f t="shared" si="4"/>
        <v>951</v>
      </c>
      <c r="F174" s="2">
        <f t="shared" si="1"/>
        <v>957</v>
      </c>
      <c r="G174" s="2">
        <f t="shared" si="2"/>
        <v>6</v>
      </c>
      <c r="H174" s="2">
        <f t="shared" si="5"/>
        <v>6</v>
      </c>
      <c r="I174" s="2">
        <f t="shared" si="6"/>
        <v>0</v>
      </c>
      <c r="Q174" s="26"/>
      <c r="R174" s="26"/>
      <c r="S174" s="26"/>
      <c r="U174" s="26"/>
      <c r="V174" s="26"/>
      <c r="W174" s="26"/>
      <c r="Y174" s="26"/>
      <c r="Z174" s="26"/>
      <c r="AA174" s="26"/>
    </row>
    <row r="175" ht="15.75" customHeight="1">
      <c r="A175" s="2">
        <f t="shared" si="7"/>
        <v>174</v>
      </c>
      <c r="B175" s="19">
        <v>10.0</v>
      </c>
      <c r="C175" s="2">
        <f t="shared" si="3"/>
        <v>961</v>
      </c>
      <c r="D175" s="9">
        <v>3.0</v>
      </c>
      <c r="E175" s="2">
        <f t="shared" si="4"/>
        <v>961</v>
      </c>
      <c r="F175" s="2">
        <f t="shared" si="1"/>
        <v>964</v>
      </c>
      <c r="G175" s="2">
        <f t="shared" si="2"/>
        <v>3</v>
      </c>
      <c r="H175" s="2">
        <f t="shared" si="5"/>
        <v>4</v>
      </c>
      <c r="I175" s="2">
        <f t="shared" si="6"/>
        <v>0</v>
      </c>
      <c r="Q175" s="26"/>
      <c r="R175" s="26"/>
      <c r="S175" s="26"/>
      <c r="U175" s="26"/>
      <c r="V175" s="26"/>
      <c r="W175" s="26"/>
      <c r="Y175" s="26"/>
      <c r="Z175" s="26"/>
      <c r="AA175" s="26"/>
    </row>
    <row r="176" ht="15.75" customHeight="1">
      <c r="A176" s="2">
        <f t="shared" si="7"/>
        <v>175</v>
      </c>
      <c r="B176" s="19">
        <v>1.0</v>
      </c>
      <c r="C176" s="2">
        <f t="shared" si="3"/>
        <v>962</v>
      </c>
      <c r="D176" s="9">
        <v>2.0</v>
      </c>
      <c r="E176" s="2">
        <f t="shared" si="4"/>
        <v>964</v>
      </c>
      <c r="F176" s="2">
        <f t="shared" si="1"/>
        <v>966</v>
      </c>
      <c r="G176" s="2">
        <f t="shared" si="2"/>
        <v>4</v>
      </c>
      <c r="H176" s="2">
        <f t="shared" si="5"/>
        <v>0</v>
      </c>
      <c r="I176" s="2">
        <f t="shared" si="6"/>
        <v>2</v>
      </c>
      <c r="Q176" s="26"/>
      <c r="R176" s="26"/>
      <c r="S176" s="26"/>
      <c r="U176" s="26"/>
      <c r="V176" s="26"/>
      <c r="W176" s="26"/>
      <c r="Y176" s="26"/>
      <c r="Z176" s="26"/>
      <c r="AA176" s="26"/>
    </row>
    <row r="177" ht="15.75" customHeight="1">
      <c r="A177" s="2">
        <f t="shared" si="7"/>
        <v>176</v>
      </c>
      <c r="B177" s="19">
        <v>6.0</v>
      </c>
      <c r="C177" s="2">
        <f t="shared" si="3"/>
        <v>968</v>
      </c>
      <c r="D177" s="9">
        <v>5.0</v>
      </c>
      <c r="E177" s="2">
        <f t="shared" si="4"/>
        <v>968</v>
      </c>
      <c r="F177" s="2">
        <f t="shared" si="1"/>
        <v>973</v>
      </c>
      <c r="G177" s="2">
        <f t="shared" si="2"/>
        <v>5</v>
      </c>
      <c r="H177" s="2">
        <f t="shared" si="5"/>
        <v>2</v>
      </c>
      <c r="I177" s="2">
        <f t="shared" si="6"/>
        <v>0</v>
      </c>
      <c r="Q177" s="26"/>
      <c r="R177" s="26"/>
      <c r="S177" s="26"/>
      <c r="U177" s="26"/>
      <c r="V177" s="26"/>
      <c r="W177" s="26"/>
      <c r="Y177" s="26"/>
      <c r="Z177" s="26"/>
      <c r="AA177" s="26"/>
    </row>
    <row r="178" ht="15.75" customHeight="1">
      <c r="A178" s="2">
        <f t="shared" si="7"/>
        <v>177</v>
      </c>
      <c r="B178" s="19">
        <v>2.0</v>
      </c>
      <c r="C178" s="2">
        <f t="shared" si="3"/>
        <v>970</v>
      </c>
      <c r="D178" s="9">
        <v>4.0</v>
      </c>
      <c r="E178" s="2">
        <f t="shared" si="4"/>
        <v>973</v>
      </c>
      <c r="F178" s="2">
        <f t="shared" si="1"/>
        <v>977</v>
      </c>
      <c r="G178" s="2">
        <f t="shared" si="2"/>
        <v>7</v>
      </c>
      <c r="H178" s="2">
        <f t="shared" si="5"/>
        <v>0</v>
      </c>
      <c r="I178" s="2">
        <f t="shared" si="6"/>
        <v>3</v>
      </c>
      <c r="Q178" s="26"/>
      <c r="R178" s="26"/>
      <c r="S178" s="26"/>
      <c r="U178" s="26"/>
      <c r="V178" s="26"/>
      <c r="W178" s="26"/>
      <c r="Y178" s="26"/>
      <c r="Z178" s="26"/>
      <c r="AA178" s="26"/>
    </row>
    <row r="179" ht="15.75" customHeight="1">
      <c r="A179" s="2">
        <f t="shared" si="7"/>
        <v>178</v>
      </c>
      <c r="B179" s="19">
        <v>8.0</v>
      </c>
      <c r="C179" s="2">
        <f t="shared" si="3"/>
        <v>978</v>
      </c>
      <c r="D179" s="9">
        <v>1.0</v>
      </c>
      <c r="E179" s="2">
        <f t="shared" si="4"/>
        <v>978</v>
      </c>
      <c r="F179" s="2">
        <f t="shared" si="1"/>
        <v>979</v>
      </c>
      <c r="G179" s="2">
        <f t="shared" si="2"/>
        <v>1</v>
      </c>
      <c r="H179" s="2">
        <f t="shared" si="5"/>
        <v>1</v>
      </c>
      <c r="I179" s="2">
        <f t="shared" si="6"/>
        <v>0</v>
      </c>
      <c r="Q179" s="26"/>
      <c r="R179" s="26"/>
      <c r="S179" s="26"/>
      <c r="U179" s="26"/>
      <c r="V179" s="26"/>
      <c r="W179" s="26"/>
      <c r="Y179" s="26"/>
      <c r="Z179" s="26"/>
      <c r="AA179" s="26"/>
    </row>
    <row r="180" ht="15.75" customHeight="1">
      <c r="A180" s="2">
        <f t="shared" si="7"/>
        <v>179</v>
      </c>
      <c r="B180" s="19">
        <v>4.0</v>
      </c>
      <c r="C180" s="2">
        <f t="shared" si="3"/>
        <v>982</v>
      </c>
      <c r="D180" s="9">
        <v>6.0</v>
      </c>
      <c r="E180" s="2">
        <f t="shared" si="4"/>
        <v>982</v>
      </c>
      <c r="F180" s="2">
        <f t="shared" si="1"/>
        <v>988</v>
      </c>
      <c r="G180" s="2">
        <f t="shared" si="2"/>
        <v>6</v>
      </c>
      <c r="H180" s="2">
        <f t="shared" si="5"/>
        <v>3</v>
      </c>
      <c r="I180" s="2">
        <f t="shared" si="6"/>
        <v>0</v>
      </c>
      <c r="Q180" s="26"/>
      <c r="R180" s="26"/>
      <c r="S180" s="26"/>
      <c r="U180" s="26"/>
      <c r="V180" s="26"/>
      <c r="W180" s="26"/>
      <c r="Y180" s="26"/>
      <c r="Z180" s="26"/>
      <c r="AA180" s="26"/>
    </row>
    <row r="181" ht="15.75" customHeight="1">
      <c r="A181" s="2">
        <f t="shared" si="7"/>
        <v>180</v>
      </c>
      <c r="B181" s="19">
        <v>3.0</v>
      </c>
      <c r="C181" s="2">
        <f t="shared" si="3"/>
        <v>985</v>
      </c>
      <c r="D181" s="9">
        <v>2.0</v>
      </c>
      <c r="E181" s="2">
        <f t="shared" si="4"/>
        <v>988</v>
      </c>
      <c r="F181" s="2">
        <f t="shared" si="1"/>
        <v>990</v>
      </c>
      <c r="G181" s="2">
        <f t="shared" si="2"/>
        <v>5</v>
      </c>
      <c r="H181" s="2">
        <f t="shared" si="5"/>
        <v>0</v>
      </c>
      <c r="I181" s="2">
        <f t="shared" si="6"/>
        <v>3</v>
      </c>
      <c r="Q181" s="26"/>
      <c r="R181" s="26"/>
      <c r="S181" s="26"/>
      <c r="U181" s="26"/>
      <c r="V181" s="26"/>
      <c r="W181" s="26"/>
      <c r="Y181" s="26"/>
      <c r="Z181" s="26"/>
      <c r="AA181" s="26"/>
    </row>
    <row r="182" ht="15.75" customHeight="1">
      <c r="A182" s="2">
        <f t="shared" si="7"/>
        <v>181</v>
      </c>
      <c r="B182" s="19">
        <v>5.0</v>
      </c>
      <c r="C182" s="2">
        <f t="shared" si="3"/>
        <v>990</v>
      </c>
      <c r="D182" s="9">
        <v>5.0</v>
      </c>
      <c r="E182" s="2">
        <f t="shared" si="4"/>
        <v>990</v>
      </c>
      <c r="F182" s="2">
        <f t="shared" si="1"/>
        <v>995</v>
      </c>
      <c r="G182" s="2">
        <f t="shared" si="2"/>
        <v>5</v>
      </c>
      <c r="H182" s="2">
        <f t="shared" si="5"/>
        <v>0</v>
      </c>
      <c r="I182" s="2">
        <f t="shared" si="6"/>
        <v>0</v>
      </c>
      <c r="Q182" s="26"/>
      <c r="R182" s="26"/>
      <c r="S182" s="26"/>
      <c r="U182" s="26"/>
      <c r="V182" s="26"/>
      <c r="W182" s="26"/>
      <c r="Y182" s="26"/>
      <c r="Z182" s="26"/>
      <c r="AA182" s="26"/>
    </row>
    <row r="183" ht="15.75" customHeight="1">
      <c r="A183" s="2">
        <f t="shared" si="7"/>
        <v>182</v>
      </c>
      <c r="B183" s="19">
        <v>9.0</v>
      </c>
      <c r="C183" s="2">
        <f t="shared" si="3"/>
        <v>999</v>
      </c>
      <c r="D183" s="9">
        <v>3.0</v>
      </c>
      <c r="E183" s="2">
        <f t="shared" si="4"/>
        <v>999</v>
      </c>
      <c r="F183" s="2">
        <f t="shared" si="1"/>
        <v>1002</v>
      </c>
      <c r="G183" s="2">
        <f t="shared" si="2"/>
        <v>3</v>
      </c>
      <c r="H183" s="2">
        <f t="shared" si="5"/>
        <v>4</v>
      </c>
      <c r="I183" s="2">
        <f t="shared" si="6"/>
        <v>0</v>
      </c>
      <c r="Q183" s="26"/>
      <c r="R183" s="26"/>
      <c r="S183" s="26"/>
      <c r="U183" s="26"/>
      <c r="V183" s="26"/>
      <c r="W183" s="26"/>
      <c r="Y183" s="26"/>
      <c r="Z183" s="26"/>
      <c r="AA183" s="26"/>
    </row>
    <row r="184" ht="15.75" customHeight="1">
      <c r="A184" s="2">
        <f t="shared" si="7"/>
        <v>183</v>
      </c>
      <c r="B184" s="19">
        <v>7.0</v>
      </c>
      <c r="C184" s="2">
        <f t="shared" si="3"/>
        <v>1006</v>
      </c>
      <c r="D184" s="9">
        <v>1.0</v>
      </c>
      <c r="E184" s="2">
        <f t="shared" si="4"/>
        <v>1006</v>
      </c>
      <c r="F184" s="2">
        <f t="shared" si="1"/>
        <v>1007</v>
      </c>
      <c r="G184" s="2">
        <f t="shared" si="2"/>
        <v>1</v>
      </c>
      <c r="H184" s="2">
        <f t="shared" si="5"/>
        <v>4</v>
      </c>
      <c r="I184" s="2">
        <f t="shared" si="6"/>
        <v>0</v>
      </c>
      <c r="Q184" s="26"/>
      <c r="R184" s="26"/>
      <c r="S184" s="26"/>
      <c r="U184" s="26"/>
      <c r="V184" s="26"/>
      <c r="W184" s="26"/>
      <c r="Y184" s="26"/>
      <c r="Z184" s="26"/>
      <c r="AA184" s="26"/>
    </row>
    <row r="185" ht="15.75" customHeight="1">
      <c r="A185" s="2">
        <f t="shared" si="7"/>
        <v>184</v>
      </c>
      <c r="B185" s="19">
        <v>10.0</v>
      </c>
      <c r="C185" s="2">
        <f t="shared" si="3"/>
        <v>1016</v>
      </c>
      <c r="D185" s="9">
        <v>6.0</v>
      </c>
      <c r="E185" s="2">
        <f t="shared" si="4"/>
        <v>1016</v>
      </c>
      <c r="F185" s="2">
        <f t="shared" si="1"/>
        <v>1022</v>
      </c>
      <c r="G185" s="2">
        <f t="shared" si="2"/>
        <v>6</v>
      </c>
      <c r="H185" s="2">
        <f t="shared" si="5"/>
        <v>9</v>
      </c>
      <c r="I185" s="2">
        <f t="shared" si="6"/>
        <v>0</v>
      </c>
      <c r="Q185" s="26"/>
      <c r="R185" s="26"/>
      <c r="S185" s="26"/>
      <c r="U185" s="26"/>
      <c r="V185" s="26"/>
      <c r="W185" s="26"/>
      <c r="Y185" s="26"/>
      <c r="Z185" s="26"/>
      <c r="AA185" s="26"/>
    </row>
    <row r="186" ht="15.75" customHeight="1">
      <c r="A186" s="2">
        <f t="shared" si="7"/>
        <v>185</v>
      </c>
      <c r="B186" s="19">
        <v>1.0</v>
      </c>
      <c r="C186" s="2">
        <f t="shared" si="3"/>
        <v>1017</v>
      </c>
      <c r="D186" s="9">
        <v>4.0</v>
      </c>
      <c r="E186" s="2">
        <f t="shared" si="4"/>
        <v>1022</v>
      </c>
      <c r="F186" s="2">
        <f t="shared" si="1"/>
        <v>1026</v>
      </c>
      <c r="G186" s="2">
        <f t="shared" si="2"/>
        <v>9</v>
      </c>
      <c r="H186" s="2">
        <f t="shared" si="5"/>
        <v>0</v>
      </c>
      <c r="I186" s="2">
        <f t="shared" si="6"/>
        <v>5</v>
      </c>
      <c r="Q186" s="26"/>
      <c r="R186" s="26"/>
      <c r="S186" s="26"/>
      <c r="U186" s="26"/>
      <c r="V186" s="26"/>
      <c r="W186" s="26"/>
      <c r="Y186" s="26"/>
      <c r="Z186" s="26"/>
      <c r="AA186" s="26"/>
    </row>
    <row r="187" ht="15.75" customHeight="1">
      <c r="A187" s="2">
        <f t="shared" si="7"/>
        <v>186</v>
      </c>
      <c r="B187" s="19">
        <v>6.0</v>
      </c>
      <c r="C187" s="2">
        <f t="shared" si="3"/>
        <v>1023</v>
      </c>
      <c r="D187" s="9">
        <v>2.0</v>
      </c>
      <c r="E187" s="2">
        <f t="shared" si="4"/>
        <v>1026</v>
      </c>
      <c r="F187" s="2">
        <f t="shared" si="1"/>
        <v>1028</v>
      </c>
      <c r="G187" s="2">
        <f t="shared" si="2"/>
        <v>5</v>
      </c>
      <c r="H187" s="2">
        <f t="shared" si="5"/>
        <v>0</v>
      </c>
      <c r="I187" s="2">
        <f t="shared" si="6"/>
        <v>3</v>
      </c>
      <c r="Q187" s="26"/>
      <c r="R187" s="26"/>
      <c r="S187" s="26"/>
      <c r="U187" s="26"/>
      <c r="V187" s="26"/>
      <c r="W187" s="26"/>
      <c r="Y187" s="26"/>
      <c r="Z187" s="26"/>
      <c r="AA187" s="26"/>
    </row>
    <row r="188" ht="15.75" customHeight="1">
      <c r="A188" s="2">
        <f t="shared" si="7"/>
        <v>187</v>
      </c>
      <c r="B188" s="19">
        <v>2.0</v>
      </c>
      <c r="C188" s="2">
        <f t="shared" si="3"/>
        <v>1025</v>
      </c>
      <c r="D188" s="9">
        <v>5.0</v>
      </c>
      <c r="E188" s="2">
        <f t="shared" si="4"/>
        <v>1028</v>
      </c>
      <c r="F188" s="2">
        <f t="shared" si="1"/>
        <v>1033</v>
      </c>
      <c r="G188" s="2">
        <f t="shared" si="2"/>
        <v>8</v>
      </c>
      <c r="H188" s="2">
        <f t="shared" si="5"/>
        <v>0</v>
      </c>
      <c r="I188" s="2">
        <f t="shared" si="6"/>
        <v>3</v>
      </c>
      <c r="Q188" s="26"/>
      <c r="R188" s="26"/>
      <c r="S188" s="26"/>
      <c r="U188" s="26"/>
      <c r="V188" s="26"/>
      <c r="W188" s="26"/>
      <c r="Y188" s="26"/>
      <c r="Z188" s="26"/>
      <c r="AA188" s="26"/>
    </row>
    <row r="189" ht="15.75" customHeight="1">
      <c r="A189" s="2">
        <f t="shared" si="7"/>
        <v>188</v>
      </c>
      <c r="B189" s="19">
        <v>8.0</v>
      </c>
      <c r="C189" s="2">
        <f t="shared" si="3"/>
        <v>1033</v>
      </c>
      <c r="D189" s="9">
        <v>3.0</v>
      </c>
      <c r="E189" s="2">
        <f t="shared" si="4"/>
        <v>1033</v>
      </c>
      <c r="F189" s="2">
        <f t="shared" si="1"/>
        <v>1036</v>
      </c>
      <c r="G189" s="2">
        <f t="shared" si="2"/>
        <v>3</v>
      </c>
      <c r="H189" s="2">
        <f t="shared" si="5"/>
        <v>0</v>
      </c>
      <c r="I189" s="2">
        <f t="shared" si="6"/>
        <v>0</v>
      </c>
      <c r="Q189" s="26"/>
      <c r="R189" s="26"/>
      <c r="S189" s="26"/>
      <c r="U189" s="26"/>
      <c r="V189" s="26"/>
      <c r="W189" s="26"/>
      <c r="Y189" s="26"/>
      <c r="Z189" s="26"/>
      <c r="AA189" s="26"/>
    </row>
    <row r="190" ht="15.75" customHeight="1">
      <c r="A190" s="2">
        <f t="shared" si="7"/>
        <v>189</v>
      </c>
      <c r="B190" s="19">
        <v>4.0</v>
      </c>
      <c r="C190" s="2">
        <f t="shared" si="3"/>
        <v>1037</v>
      </c>
      <c r="D190" s="9">
        <v>1.0</v>
      </c>
      <c r="E190" s="2">
        <f t="shared" si="4"/>
        <v>1037</v>
      </c>
      <c r="F190" s="2">
        <f t="shared" si="1"/>
        <v>1038</v>
      </c>
      <c r="G190" s="2">
        <f t="shared" si="2"/>
        <v>1</v>
      </c>
      <c r="H190" s="2">
        <f t="shared" si="5"/>
        <v>1</v>
      </c>
      <c r="I190" s="2">
        <f t="shared" si="6"/>
        <v>0</v>
      </c>
      <c r="Q190" s="26"/>
      <c r="R190" s="26"/>
      <c r="S190" s="26"/>
      <c r="U190" s="26"/>
      <c r="V190" s="26"/>
      <c r="W190" s="26"/>
      <c r="Y190" s="26"/>
      <c r="Z190" s="26"/>
      <c r="AA190" s="26"/>
    </row>
    <row r="191" ht="15.75" customHeight="1">
      <c r="A191" s="2">
        <f t="shared" si="7"/>
        <v>190</v>
      </c>
      <c r="B191" s="19">
        <v>3.0</v>
      </c>
      <c r="C191" s="2">
        <f t="shared" si="3"/>
        <v>1040</v>
      </c>
      <c r="D191" s="9">
        <v>6.0</v>
      </c>
      <c r="E191" s="2">
        <f t="shared" si="4"/>
        <v>1040</v>
      </c>
      <c r="F191" s="2">
        <f t="shared" si="1"/>
        <v>1046</v>
      </c>
      <c r="G191" s="2">
        <f t="shared" si="2"/>
        <v>6</v>
      </c>
      <c r="H191" s="2">
        <f t="shared" si="5"/>
        <v>2</v>
      </c>
      <c r="I191" s="2">
        <f t="shared" si="6"/>
        <v>0</v>
      </c>
      <c r="Q191" s="26"/>
      <c r="R191" s="26"/>
      <c r="S191" s="26"/>
      <c r="U191" s="26"/>
      <c r="V191" s="26"/>
      <c r="W191" s="26"/>
      <c r="Y191" s="26"/>
      <c r="Z191" s="26"/>
      <c r="AA191" s="26"/>
    </row>
    <row r="192" ht="15.75" customHeight="1">
      <c r="A192" s="2">
        <f t="shared" si="7"/>
        <v>191</v>
      </c>
      <c r="B192" s="19">
        <v>5.0</v>
      </c>
      <c r="C192" s="2">
        <f t="shared" si="3"/>
        <v>1045</v>
      </c>
      <c r="D192" s="9">
        <v>2.0</v>
      </c>
      <c r="E192" s="2">
        <f t="shared" si="4"/>
        <v>1046</v>
      </c>
      <c r="F192" s="2">
        <f t="shared" si="1"/>
        <v>1048</v>
      </c>
      <c r="G192" s="2">
        <f t="shared" si="2"/>
        <v>3</v>
      </c>
      <c r="H192" s="2">
        <f t="shared" si="5"/>
        <v>0</v>
      </c>
      <c r="I192" s="2">
        <f t="shared" si="6"/>
        <v>1</v>
      </c>
      <c r="Q192" s="26"/>
      <c r="R192" s="26"/>
      <c r="S192" s="26"/>
      <c r="U192" s="26"/>
      <c r="V192" s="26"/>
      <c r="W192" s="26"/>
      <c r="Y192" s="26"/>
      <c r="Z192" s="26"/>
      <c r="AA192" s="26"/>
    </row>
    <row r="193" ht="15.75" customHeight="1">
      <c r="A193" s="2">
        <f t="shared" si="7"/>
        <v>192</v>
      </c>
      <c r="B193" s="19">
        <v>9.0</v>
      </c>
      <c r="C193" s="2">
        <f t="shared" si="3"/>
        <v>1054</v>
      </c>
      <c r="D193" s="9">
        <v>4.0</v>
      </c>
      <c r="E193" s="2">
        <f t="shared" si="4"/>
        <v>1054</v>
      </c>
      <c r="F193" s="2">
        <f t="shared" si="1"/>
        <v>1058</v>
      </c>
      <c r="G193" s="2">
        <f t="shared" si="2"/>
        <v>4</v>
      </c>
      <c r="H193" s="2">
        <f t="shared" si="5"/>
        <v>6</v>
      </c>
      <c r="I193" s="2">
        <f t="shared" si="6"/>
        <v>0</v>
      </c>
      <c r="Q193" s="26"/>
      <c r="R193" s="26"/>
      <c r="S193" s="26"/>
      <c r="U193" s="26"/>
      <c r="V193" s="26"/>
      <c r="W193" s="26"/>
      <c r="Y193" s="26"/>
      <c r="Z193" s="26"/>
      <c r="AA193" s="26"/>
    </row>
    <row r="194" ht="15.75" customHeight="1">
      <c r="A194" s="2">
        <f t="shared" si="7"/>
        <v>193</v>
      </c>
      <c r="B194" s="19">
        <v>7.0</v>
      </c>
      <c r="C194" s="2">
        <f t="shared" si="3"/>
        <v>1061</v>
      </c>
      <c r="D194" s="9">
        <v>5.0</v>
      </c>
      <c r="E194" s="2">
        <f t="shared" si="4"/>
        <v>1061</v>
      </c>
      <c r="F194" s="2">
        <f t="shared" si="1"/>
        <v>1066</v>
      </c>
      <c r="G194" s="2">
        <f t="shared" si="2"/>
        <v>5</v>
      </c>
      <c r="H194" s="2">
        <f t="shared" si="5"/>
        <v>3</v>
      </c>
      <c r="I194" s="2">
        <f t="shared" si="6"/>
        <v>0</v>
      </c>
      <c r="Q194" s="26"/>
      <c r="R194" s="26"/>
      <c r="S194" s="26"/>
      <c r="U194" s="26"/>
      <c r="V194" s="26"/>
      <c r="W194" s="26"/>
      <c r="Y194" s="26"/>
      <c r="Z194" s="26"/>
      <c r="AA194" s="26"/>
    </row>
    <row r="195" ht="15.75" customHeight="1">
      <c r="A195" s="2">
        <f t="shared" si="7"/>
        <v>194</v>
      </c>
      <c r="B195" s="19">
        <v>10.0</v>
      </c>
      <c r="C195" s="2">
        <f t="shared" si="3"/>
        <v>1071</v>
      </c>
      <c r="D195" s="9">
        <v>3.0</v>
      </c>
      <c r="E195" s="2">
        <f t="shared" si="4"/>
        <v>1071</v>
      </c>
      <c r="F195" s="2">
        <f t="shared" si="1"/>
        <v>1074</v>
      </c>
      <c r="G195" s="2">
        <f t="shared" si="2"/>
        <v>3</v>
      </c>
      <c r="H195" s="2">
        <f t="shared" si="5"/>
        <v>5</v>
      </c>
      <c r="I195" s="2">
        <f t="shared" si="6"/>
        <v>0</v>
      </c>
      <c r="Q195" s="26"/>
      <c r="R195" s="26"/>
      <c r="S195" s="26"/>
      <c r="U195" s="26"/>
      <c r="V195" s="26"/>
      <c r="W195" s="26"/>
      <c r="Y195" s="26"/>
      <c r="Z195" s="26"/>
      <c r="AA195" s="26"/>
    </row>
    <row r="196" ht="15.75" customHeight="1">
      <c r="A196" s="2">
        <f t="shared" si="7"/>
        <v>195</v>
      </c>
      <c r="B196" s="19">
        <v>1.0</v>
      </c>
      <c r="C196" s="2">
        <f t="shared" si="3"/>
        <v>1072</v>
      </c>
      <c r="D196" s="9">
        <v>6.0</v>
      </c>
      <c r="E196" s="2">
        <f t="shared" si="4"/>
        <v>1074</v>
      </c>
      <c r="F196" s="2">
        <f t="shared" si="1"/>
        <v>1080</v>
      </c>
      <c r="G196" s="2">
        <f t="shared" si="2"/>
        <v>8</v>
      </c>
      <c r="H196" s="2">
        <f t="shared" si="5"/>
        <v>0</v>
      </c>
      <c r="I196" s="2">
        <f t="shared" si="6"/>
        <v>2</v>
      </c>
      <c r="Q196" s="26"/>
      <c r="R196" s="26"/>
      <c r="S196" s="26"/>
      <c r="U196" s="26"/>
      <c r="V196" s="26"/>
      <c r="W196" s="26"/>
      <c r="Y196" s="26"/>
      <c r="Z196" s="26"/>
      <c r="AA196" s="26"/>
    </row>
    <row r="197" ht="15.75" customHeight="1">
      <c r="A197" s="2">
        <f t="shared" si="7"/>
        <v>196</v>
      </c>
      <c r="B197" s="19">
        <v>6.0</v>
      </c>
      <c r="C197" s="2">
        <f t="shared" si="3"/>
        <v>1078</v>
      </c>
      <c r="D197" s="9">
        <v>1.0</v>
      </c>
      <c r="E197" s="2">
        <f t="shared" si="4"/>
        <v>1080</v>
      </c>
      <c r="F197" s="2">
        <f t="shared" si="1"/>
        <v>1081</v>
      </c>
      <c r="G197" s="2">
        <f t="shared" si="2"/>
        <v>3</v>
      </c>
      <c r="H197" s="2">
        <f t="shared" si="5"/>
        <v>0</v>
      </c>
      <c r="I197" s="2">
        <f t="shared" si="6"/>
        <v>2</v>
      </c>
      <c r="Q197" s="26"/>
      <c r="R197" s="26"/>
      <c r="S197" s="26"/>
      <c r="U197" s="26"/>
      <c r="V197" s="26"/>
      <c r="W197" s="26"/>
      <c r="Y197" s="26"/>
      <c r="Z197" s="26"/>
      <c r="AA197" s="26"/>
    </row>
    <row r="198" ht="15.75" customHeight="1">
      <c r="A198" s="2">
        <f t="shared" si="7"/>
        <v>197</v>
      </c>
      <c r="B198" s="19">
        <v>2.0</v>
      </c>
      <c r="C198" s="2">
        <f t="shared" si="3"/>
        <v>1080</v>
      </c>
      <c r="D198" s="9">
        <v>4.0</v>
      </c>
      <c r="E198" s="2">
        <f t="shared" si="4"/>
        <v>1081</v>
      </c>
      <c r="F198" s="2">
        <f t="shared" si="1"/>
        <v>1085</v>
      </c>
      <c r="G198" s="2">
        <f t="shared" si="2"/>
        <v>5</v>
      </c>
      <c r="H198" s="2">
        <f t="shared" si="5"/>
        <v>0</v>
      </c>
      <c r="I198" s="2">
        <f t="shared" si="6"/>
        <v>1</v>
      </c>
      <c r="Q198" s="26"/>
      <c r="R198" s="26"/>
      <c r="S198" s="26"/>
      <c r="U198" s="26"/>
      <c r="V198" s="26"/>
      <c r="W198" s="26"/>
      <c r="Y198" s="26"/>
      <c r="Z198" s="26"/>
      <c r="AA198" s="26"/>
    </row>
    <row r="199" ht="15.75" customHeight="1">
      <c r="A199" s="2">
        <f t="shared" si="7"/>
        <v>198</v>
      </c>
      <c r="B199" s="19">
        <v>8.0</v>
      </c>
      <c r="C199" s="2">
        <f t="shared" si="3"/>
        <v>1088</v>
      </c>
      <c r="D199" s="9">
        <v>2.0</v>
      </c>
      <c r="E199" s="2">
        <f t="shared" si="4"/>
        <v>1088</v>
      </c>
      <c r="F199" s="2">
        <f t="shared" si="1"/>
        <v>1090</v>
      </c>
      <c r="G199" s="2">
        <f t="shared" si="2"/>
        <v>2</v>
      </c>
      <c r="H199" s="2">
        <f t="shared" si="5"/>
        <v>3</v>
      </c>
      <c r="I199" s="2">
        <f t="shared" si="6"/>
        <v>0</v>
      </c>
      <c r="Q199" s="26"/>
      <c r="R199" s="26"/>
      <c r="S199" s="26"/>
      <c r="U199" s="26"/>
      <c r="V199" s="26"/>
      <c r="W199" s="26"/>
      <c r="Y199" s="26"/>
      <c r="Z199" s="26"/>
      <c r="AA199" s="26"/>
    </row>
    <row r="200" ht="15.75" customHeight="1">
      <c r="A200" s="2">
        <f t="shared" si="7"/>
        <v>199</v>
      </c>
      <c r="B200" s="19">
        <v>4.0</v>
      </c>
      <c r="C200" s="2">
        <f t="shared" si="3"/>
        <v>1092</v>
      </c>
      <c r="D200" s="9">
        <v>5.0</v>
      </c>
      <c r="E200" s="2">
        <f t="shared" si="4"/>
        <v>1092</v>
      </c>
      <c r="F200" s="2">
        <f t="shared" si="1"/>
        <v>1097</v>
      </c>
      <c r="G200" s="2">
        <f t="shared" si="2"/>
        <v>5</v>
      </c>
      <c r="H200" s="2">
        <f t="shared" si="5"/>
        <v>2</v>
      </c>
      <c r="I200" s="2">
        <f t="shared" si="6"/>
        <v>0</v>
      </c>
      <c r="Q200" s="26"/>
      <c r="R200" s="26"/>
      <c r="S200" s="26"/>
      <c r="U200" s="26"/>
      <c r="V200" s="26"/>
      <c r="W200" s="26"/>
      <c r="Y200" s="26"/>
      <c r="Z200" s="26"/>
      <c r="AA200" s="26"/>
    </row>
    <row r="201" ht="15.75" customHeight="1">
      <c r="A201" s="2">
        <f t="shared" si="7"/>
        <v>200</v>
      </c>
      <c r="B201" s="19">
        <v>3.0</v>
      </c>
      <c r="C201" s="2">
        <f t="shared" si="3"/>
        <v>1095</v>
      </c>
      <c r="D201" s="9">
        <v>1.0</v>
      </c>
      <c r="E201" s="2">
        <f t="shared" si="4"/>
        <v>1097</v>
      </c>
      <c r="F201" s="2">
        <f t="shared" si="1"/>
        <v>1098</v>
      </c>
      <c r="G201" s="2">
        <f t="shared" si="2"/>
        <v>3</v>
      </c>
      <c r="H201" s="2">
        <f t="shared" si="5"/>
        <v>0</v>
      </c>
      <c r="I201" s="2">
        <f t="shared" si="6"/>
        <v>2</v>
      </c>
      <c r="Q201" s="26"/>
      <c r="R201" s="26"/>
      <c r="S201" s="26"/>
      <c r="U201" s="26"/>
      <c r="V201" s="26"/>
      <c r="W201" s="26"/>
      <c r="Y201" s="26"/>
      <c r="Z201" s="26"/>
      <c r="AA201" s="26"/>
    </row>
    <row r="202" ht="15.75" customHeight="1">
      <c r="F202" s="31" t="s">
        <v>16</v>
      </c>
      <c r="G202" s="31">
        <f t="shared" ref="G202:I202" si="8">SUM(G2:G201)</f>
        <v>904</v>
      </c>
      <c r="H202" s="31">
        <f t="shared" si="8"/>
        <v>383</v>
      </c>
      <c r="I202" s="31">
        <f t="shared" si="8"/>
        <v>189</v>
      </c>
      <c r="Q202" s="26"/>
      <c r="R202" s="26"/>
      <c r="S202" s="26"/>
      <c r="U202" s="26"/>
      <c r="V202" s="26"/>
      <c r="W202" s="26"/>
      <c r="Y202" s="26"/>
      <c r="Z202" s="26"/>
      <c r="AA202" s="26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5.11"/>
    <col customWidth="1" min="2" max="2" width="12.44"/>
    <col customWidth="1" min="3" max="3" width="13.56"/>
    <col customWidth="1" min="4" max="6" width="11.22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>
        <v>1.0</v>
      </c>
      <c r="B2" s="7">
        <v>4.5</v>
      </c>
      <c r="C2" s="8">
        <v>0.3448275862068966</v>
      </c>
      <c r="D2" s="7">
        <v>0.89</v>
      </c>
      <c r="E2" s="7">
        <v>0.37</v>
      </c>
      <c r="F2" s="7">
        <v>2.4054054054054053</v>
      </c>
      <c r="H2" s="10"/>
      <c r="I2" s="11"/>
      <c r="J2" s="10"/>
      <c r="K2" s="10"/>
      <c r="L2" s="13"/>
      <c r="M2" s="14"/>
      <c r="N2" s="10"/>
      <c r="O2" s="10"/>
      <c r="P2" s="10"/>
      <c r="Q2" s="10"/>
      <c r="R2" s="10"/>
    </row>
    <row r="3">
      <c r="A3" s="5">
        <v>2.0</v>
      </c>
      <c r="B3" s="7">
        <v>4.395</v>
      </c>
      <c r="C3" s="8">
        <v>0.3469573115349682</v>
      </c>
      <c r="D3" s="7">
        <v>0.8</v>
      </c>
      <c r="E3" s="7">
        <v>0.34</v>
      </c>
      <c r="F3" s="15">
        <v>2.3529411764705883</v>
      </c>
      <c r="H3" s="10"/>
      <c r="I3" s="10"/>
      <c r="J3" s="14"/>
      <c r="K3" s="10"/>
      <c r="L3" s="14"/>
      <c r="M3" s="10"/>
      <c r="N3" s="10"/>
      <c r="O3" s="10"/>
      <c r="P3" s="10"/>
      <c r="Q3" s="10"/>
    </row>
    <row r="4">
      <c r="A4" s="5">
        <v>3.0</v>
      </c>
      <c r="B4" s="17">
        <v>4.525</v>
      </c>
      <c r="C4" s="18">
        <v>0.34363636363636363</v>
      </c>
      <c r="D4" s="17">
        <v>0.915</v>
      </c>
      <c r="E4" s="17">
        <v>0.365</v>
      </c>
      <c r="F4" s="22">
        <v>2.506849315068493</v>
      </c>
      <c r="H4" s="10"/>
      <c r="I4" s="11"/>
      <c r="J4" s="10"/>
      <c r="K4" s="10"/>
      <c r="L4" s="13"/>
    </row>
    <row r="5">
      <c r="A5" s="5">
        <v>4.0</v>
      </c>
      <c r="B5" s="7">
        <v>4.525</v>
      </c>
      <c r="C5" s="8">
        <v>0.34184138559708294</v>
      </c>
      <c r="D5" s="7">
        <v>0.915</v>
      </c>
      <c r="E5" s="7">
        <v>0.38</v>
      </c>
      <c r="F5" s="15">
        <v>2.4078947368421053</v>
      </c>
      <c r="H5" s="10"/>
      <c r="I5" s="11"/>
      <c r="J5" s="10"/>
      <c r="K5" s="10"/>
      <c r="L5" s="13"/>
    </row>
    <row r="6">
      <c r="A6" s="5">
        <v>5.0</v>
      </c>
      <c r="B6" s="17">
        <v>4.28</v>
      </c>
      <c r="C6" s="18">
        <v>0.34270172257479603</v>
      </c>
      <c r="D6" s="17">
        <v>0.655</v>
      </c>
      <c r="E6" s="17">
        <v>0.275</v>
      </c>
      <c r="F6" s="15">
        <v>2.381818181818182</v>
      </c>
      <c r="H6" s="10"/>
      <c r="I6" s="10"/>
      <c r="J6" s="14"/>
      <c r="K6" s="10"/>
      <c r="L6" s="14"/>
      <c r="M6" s="10"/>
      <c r="N6" s="10"/>
      <c r="O6" s="10"/>
      <c r="P6" s="10"/>
      <c r="Q6" s="10"/>
    </row>
    <row r="7">
      <c r="A7" s="5">
        <v>6.0</v>
      </c>
      <c r="B7" s="7">
        <v>4.515</v>
      </c>
      <c r="C7" s="8">
        <v>0.3489630297565374</v>
      </c>
      <c r="D7" s="7">
        <v>0.905</v>
      </c>
      <c r="E7" s="7">
        <v>0.38</v>
      </c>
      <c r="F7" s="7">
        <v>2.3815789473684212</v>
      </c>
    </row>
    <row r="8">
      <c r="A8" s="5">
        <v>7.0</v>
      </c>
      <c r="B8" s="7">
        <v>4.485</v>
      </c>
      <c r="C8" s="8">
        <v>0.3427272727272727</v>
      </c>
      <c r="D8" s="7">
        <v>0.87</v>
      </c>
      <c r="E8" s="7">
        <v>0.38</v>
      </c>
      <c r="F8" s="7">
        <v>2.289473684210526</v>
      </c>
    </row>
    <row r="9">
      <c r="A9" s="5">
        <v>8.0</v>
      </c>
      <c r="B9" s="7">
        <v>4.43</v>
      </c>
      <c r="C9" s="8">
        <v>0.3541666666666667</v>
      </c>
      <c r="D9" s="7">
        <v>0.865</v>
      </c>
      <c r="E9" s="7">
        <v>0.36</v>
      </c>
      <c r="F9" s="7">
        <v>2.4027777777777777</v>
      </c>
    </row>
    <row r="10">
      <c r="A10" s="5">
        <v>9.0</v>
      </c>
      <c r="B10" s="7">
        <v>4.405</v>
      </c>
      <c r="C10" s="8">
        <v>0.3406193078324226</v>
      </c>
      <c r="D10" s="7">
        <v>0.785</v>
      </c>
      <c r="E10" s="7">
        <v>0.355</v>
      </c>
      <c r="F10" s="7">
        <v>2.211267605633803</v>
      </c>
    </row>
    <row r="11">
      <c r="A11" s="5">
        <v>10.0</v>
      </c>
      <c r="B11" s="7">
        <v>4.52</v>
      </c>
      <c r="C11" s="8">
        <v>0.348816029143898</v>
      </c>
      <c r="D11" s="7">
        <v>0.945</v>
      </c>
      <c r="E11" s="7">
        <v>0.4</v>
      </c>
      <c r="F11" s="7">
        <v>2.3625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1.89"/>
    <col customWidth="1" min="3" max="9" width="10.56"/>
    <col customWidth="1" min="10" max="10" width="2.0"/>
    <col customWidth="1" min="11" max="11" width="34.78"/>
    <col customWidth="1" min="12" max="12" width="9.0"/>
  </cols>
  <sheetData>
    <row r="1" ht="30.75" customHeight="1">
      <c r="A1" s="2" t="s">
        <v>0</v>
      </c>
      <c r="B1" s="4" t="s">
        <v>7</v>
      </c>
      <c r="C1" s="2" t="s">
        <v>8</v>
      </c>
      <c r="D1" s="6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</row>
    <row r="2" ht="15.75" customHeight="1">
      <c r="A2" s="2">
        <v>1.0</v>
      </c>
      <c r="B2" s="4" t="s">
        <v>15</v>
      </c>
      <c r="C2" s="2">
        <v>0.0</v>
      </c>
      <c r="D2" s="9">
        <v>4.0</v>
      </c>
      <c r="E2" s="2">
        <f>C2</f>
        <v>0</v>
      </c>
      <c r="F2" s="2">
        <f t="shared" ref="F2:F21" si="1">E2+D2</f>
        <v>4</v>
      </c>
      <c r="G2" s="2">
        <f t="shared" ref="G2:G21" si="2">F2-C2</f>
        <v>4</v>
      </c>
      <c r="H2" s="2">
        <v>0.0</v>
      </c>
      <c r="I2" s="2">
        <v>0.0</v>
      </c>
    </row>
    <row r="3" ht="15.75" customHeight="1">
      <c r="A3" s="2">
        <v>2.0</v>
      </c>
      <c r="B3" s="19">
        <v>6.0</v>
      </c>
      <c r="C3" s="2">
        <f t="shared" ref="C3:C21" si="3">C2+B3</f>
        <v>6</v>
      </c>
      <c r="D3" s="9">
        <v>6.0</v>
      </c>
      <c r="E3" s="2">
        <f t="shared" ref="E3:E21" si="4">MAX(F2,C3)</f>
        <v>6</v>
      </c>
      <c r="F3" s="2">
        <f t="shared" si="1"/>
        <v>12</v>
      </c>
      <c r="G3" s="2">
        <f t="shared" si="2"/>
        <v>6</v>
      </c>
      <c r="H3" s="2">
        <f t="shared" ref="H3:H21" si="5">MAX(C3-F2,0)</f>
        <v>2</v>
      </c>
      <c r="I3" s="2">
        <f t="shared" ref="I3:I21" si="6">MAX(F2-C3,0)</f>
        <v>0</v>
      </c>
      <c r="K3" s="10" t="s">
        <v>2</v>
      </c>
      <c r="L3" s="10">
        <f>G22/A21</f>
        <v>4.6</v>
      </c>
    </row>
    <row r="4" ht="15.75" customHeight="1">
      <c r="A4" s="2">
        <v>3.0</v>
      </c>
      <c r="B4" s="19">
        <v>1.0</v>
      </c>
      <c r="C4" s="2">
        <f t="shared" si="3"/>
        <v>7</v>
      </c>
      <c r="D4" s="9">
        <v>2.0</v>
      </c>
      <c r="E4" s="2">
        <f t="shared" si="4"/>
        <v>12</v>
      </c>
      <c r="F4" s="2">
        <f t="shared" si="1"/>
        <v>14</v>
      </c>
      <c r="G4" s="2">
        <f t="shared" si="2"/>
        <v>7</v>
      </c>
      <c r="H4" s="2">
        <f t="shared" si="5"/>
        <v>0</v>
      </c>
      <c r="I4" s="2">
        <f t="shared" si="6"/>
        <v>5</v>
      </c>
      <c r="K4" s="10" t="s">
        <v>3</v>
      </c>
      <c r="L4" s="25">
        <f>H22/F21</f>
        <v>0.3392857143</v>
      </c>
    </row>
    <row r="5" ht="15.75" customHeight="1">
      <c r="A5" s="2">
        <v>4.0</v>
      </c>
      <c r="B5" s="19">
        <v>8.0</v>
      </c>
      <c r="C5" s="2">
        <f t="shared" si="3"/>
        <v>15</v>
      </c>
      <c r="D5" s="9">
        <v>5.0</v>
      </c>
      <c r="E5" s="2">
        <f t="shared" si="4"/>
        <v>15</v>
      </c>
      <c r="F5" s="2">
        <f t="shared" si="1"/>
        <v>20</v>
      </c>
      <c r="G5" s="2">
        <f t="shared" si="2"/>
        <v>5</v>
      </c>
      <c r="H5" s="2">
        <f t="shared" si="5"/>
        <v>1</v>
      </c>
      <c r="I5" s="2">
        <f t="shared" si="6"/>
        <v>0</v>
      </c>
      <c r="K5" s="10" t="s">
        <v>4</v>
      </c>
      <c r="L5" s="10">
        <f>I22/A21</f>
        <v>0.9</v>
      </c>
    </row>
    <row r="6" ht="15.75" customHeight="1">
      <c r="A6" s="2">
        <v>5.0</v>
      </c>
      <c r="B6" s="19">
        <v>3.0</v>
      </c>
      <c r="C6" s="2">
        <f t="shared" si="3"/>
        <v>18</v>
      </c>
      <c r="D6" s="9">
        <v>1.0</v>
      </c>
      <c r="E6" s="2">
        <f t="shared" si="4"/>
        <v>20</v>
      </c>
      <c r="F6" s="2">
        <f t="shared" si="1"/>
        <v>21</v>
      </c>
      <c r="G6" s="2">
        <f t="shared" si="2"/>
        <v>3</v>
      </c>
      <c r="H6" s="2">
        <f t="shared" si="5"/>
        <v>0</v>
      </c>
      <c r="I6" s="2">
        <f t="shared" si="6"/>
        <v>2</v>
      </c>
      <c r="K6" s="10" t="s">
        <v>5</v>
      </c>
      <c r="L6" s="10">
        <f>COUNTIF(I2:I21,"&gt;0")/A21</f>
        <v>0.35</v>
      </c>
    </row>
    <row r="7" ht="15.75" customHeight="1">
      <c r="A7" s="2">
        <v>6.0</v>
      </c>
      <c r="B7" s="19">
        <v>10.0</v>
      </c>
      <c r="C7" s="2">
        <f t="shared" si="3"/>
        <v>28</v>
      </c>
      <c r="D7" s="9">
        <v>3.0</v>
      </c>
      <c r="E7" s="2">
        <f t="shared" si="4"/>
        <v>28</v>
      </c>
      <c r="F7" s="2">
        <f t="shared" si="1"/>
        <v>31</v>
      </c>
      <c r="G7" s="2">
        <f t="shared" si="2"/>
        <v>3</v>
      </c>
      <c r="H7" s="2">
        <f t="shared" si="5"/>
        <v>7</v>
      </c>
      <c r="I7" s="2">
        <f t="shared" si="6"/>
        <v>0</v>
      </c>
      <c r="K7" s="10" t="s">
        <v>6</v>
      </c>
      <c r="L7" s="13">
        <f>I22/COUNTIF(I2:I21,"&gt;0")</f>
        <v>2.571428571</v>
      </c>
    </row>
    <row r="8" ht="15.75" customHeight="1">
      <c r="A8" s="2">
        <v>7.0</v>
      </c>
      <c r="B8" s="19">
        <v>5.0</v>
      </c>
      <c r="C8" s="2">
        <f t="shared" si="3"/>
        <v>33</v>
      </c>
      <c r="D8" s="9">
        <v>6.0</v>
      </c>
      <c r="E8" s="2">
        <f t="shared" si="4"/>
        <v>33</v>
      </c>
      <c r="F8" s="2">
        <f t="shared" si="1"/>
        <v>39</v>
      </c>
      <c r="G8" s="2">
        <f t="shared" si="2"/>
        <v>6</v>
      </c>
      <c r="H8" s="2">
        <f t="shared" si="5"/>
        <v>2</v>
      </c>
      <c r="I8" s="2">
        <f t="shared" si="6"/>
        <v>0</v>
      </c>
    </row>
    <row r="9" ht="15.75" customHeight="1">
      <c r="A9" s="2">
        <v>8.0</v>
      </c>
      <c r="B9" s="19">
        <v>2.0</v>
      </c>
      <c r="C9" s="2">
        <f t="shared" si="3"/>
        <v>35</v>
      </c>
      <c r="D9" s="9">
        <v>4.0</v>
      </c>
      <c r="E9" s="2">
        <f t="shared" si="4"/>
        <v>39</v>
      </c>
      <c r="F9" s="2">
        <f t="shared" si="1"/>
        <v>43</v>
      </c>
      <c r="G9" s="2">
        <f t="shared" si="2"/>
        <v>8</v>
      </c>
      <c r="H9" s="2">
        <f t="shared" si="5"/>
        <v>0</v>
      </c>
      <c r="I9" s="2">
        <f t="shared" si="6"/>
        <v>4</v>
      </c>
    </row>
    <row r="10" ht="15.75" customHeight="1">
      <c r="A10" s="2">
        <v>9.0</v>
      </c>
      <c r="B10" s="19">
        <v>9.0</v>
      </c>
      <c r="C10" s="2">
        <f t="shared" si="3"/>
        <v>44</v>
      </c>
      <c r="D10" s="9">
        <v>2.0</v>
      </c>
      <c r="E10" s="2">
        <f t="shared" si="4"/>
        <v>44</v>
      </c>
      <c r="F10" s="2">
        <f t="shared" si="1"/>
        <v>46</v>
      </c>
      <c r="G10" s="2">
        <f t="shared" si="2"/>
        <v>2</v>
      </c>
      <c r="H10" s="2">
        <f t="shared" si="5"/>
        <v>1</v>
      </c>
      <c r="I10" s="2">
        <f t="shared" si="6"/>
        <v>0</v>
      </c>
    </row>
    <row r="11" ht="15.75" customHeight="1">
      <c r="A11" s="2">
        <v>10.0</v>
      </c>
      <c r="B11" s="19">
        <v>7.0</v>
      </c>
      <c r="C11" s="2">
        <f t="shared" si="3"/>
        <v>51</v>
      </c>
      <c r="D11" s="9">
        <v>5.0</v>
      </c>
      <c r="E11" s="2">
        <f t="shared" si="4"/>
        <v>51</v>
      </c>
      <c r="F11" s="2">
        <f t="shared" si="1"/>
        <v>56</v>
      </c>
      <c r="G11" s="2">
        <f t="shared" si="2"/>
        <v>5</v>
      </c>
      <c r="H11" s="2">
        <f t="shared" si="5"/>
        <v>5</v>
      </c>
      <c r="I11" s="2">
        <f t="shared" si="6"/>
        <v>0</v>
      </c>
      <c r="L11" s="27"/>
      <c r="N11" s="27"/>
      <c r="O11" s="28"/>
      <c r="P11" s="27"/>
      <c r="Q11" s="27"/>
      <c r="R11" s="29"/>
    </row>
    <row r="12" ht="15.75" customHeight="1">
      <c r="A12" s="2">
        <v>11.0</v>
      </c>
      <c r="B12" s="19">
        <v>4.0</v>
      </c>
      <c r="C12" s="2">
        <f t="shared" si="3"/>
        <v>55</v>
      </c>
      <c r="D12" s="9">
        <v>1.0</v>
      </c>
      <c r="E12" s="2">
        <f t="shared" si="4"/>
        <v>56</v>
      </c>
      <c r="F12" s="2">
        <f t="shared" si="1"/>
        <v>57</v>
      </c>
      <c r="G12" s="2">
        <f t="shared" si="2"/>
        <v>2</v>
      </c>
      <c r="H12" s="2">
        <f t="shared" si="5"/>
        <v>0</v>
      </c>
      <c r="I12" s="2">
        <f t="shared" si="6"/>
        <v>1</v>
      </c>
      <c r="L12" s="28"/>
    </row>
    <row r="13" ht="15.75" customHeight="1">
      <c r="A13" s="2">
        <v>12.0</v>
      </c>
      <c r="B13" s="19">
        <v>6.0</v>
      </c>
      <c r="C13" s="2">
        <f t="shared" si="3"/>
        <v>61</v>
      </c>
      <c r="D13" s="9">
        <v>6.0</v>
      </c>
      <c r="E13" s="2">
        <f t="shared" si="4"/>
        <v>61</v>
      </c>
      <c r="F13" s="2">
        <f t="shared" si="1"/>
        <v>67</v>
      </c>
      <c r="G13" s="2">
        <f t="shared" si="2"/>
        <v>6</v>
      </c>
      <c r="H13" s="2">
        <f t="shared" si="5"/>
        <v>4</v>
      </c>
      <c r="I13" s="2">
        <f t="shared" si="6"/>
        <v>0</v>
      </c>
      <c r="L13" s="27"/>
      <c r="N13" s="27"/>
      <c r="O13" s="30"/>
      <c r="P13" s="27"/>
      <c r="Q13" s="27"/>
      <c r="R13" s="29"/>
    </row>
    <row r="14" ht="15.75" customHeight="1">
      <c r="A14" s="2">
        <v>13.0</v>
      </c>
      <c r="B14" s="19">
        <v>10.0</v>
      </c>
      <c r="C14" s="2">
        <f t="shared" si="3"/>
        <v>71</v>
      </c>
      <c r="D14" s="9">
        <v>2.0</v>
      </c>
      <c r="E14" s="2">
        <f t="shared" si="4"/>
        <v>71</v>
      </c>
      <c r="F14" s="2">
        <f t="shared" si="1"/>
        <v>73</v>
      </c>
      <c r="G14" s="2">
        <f t="shared" si="2"/>
        <v>2</v>
      </c>
      <c r="H14" s="2">
        <f t="shared" si="5"/>
        <v>4</v>
      </c>
      <c r="I14" s="2">
        <f t="shared" si="6"/>
        <v>0</v>
      </c>
      <c r="L14" s="28"/>
    </row>
    <row r="15" ht="15.75" customHeight="1">
      <c r="A15" s="2">
        <v>14.0</v>
      </c>
      <c r="B15" s="19">
        <v>3.0</v>
      </c>
      <c r="C15" s="2">
        <f t="shared" si="3"/>
        <v>74</v>
      </c>
      <c r="D15" s="9">
        <v>5.0</v>
      </c>
      <c r="E15" s="2">
        <f t="shared" si="4"/>
        <v>74</v>
      </c>
      <c r="F15" s="2">
        <f t="shared" si="1"/>
        <v>79</v>
      </c>
      <c r="G15" s="2">
        <f t="shared" si="2"/>
        <v>5</v>
      </c>
      <c r="H15" s="2">
        <f t="shared" si="5"/>
        <v>1</v>
      </c>
      <c r="I15" s="2">
        <f t="shared" si="6"/>
        <v>0</v>
      </c>
      <c r="L15" s="27"/>
    </row>
    <row r="16" ht="15.75" customHeight="1">
      <c r="A16" s="2">
        <v>15.0</v>
      </c>
      <c r="B16" s="19">
        <v>8.0</v>
      </c>
      <c r="C16" s="2">
        <f t="shared" si="3"/>
        <v>82</v>
      </c>
      <c r="D16" s="9">
        <v>3.0</v>
      </c>
      <c r="E16" s="2">
        <f t="shared" si="4"/>
        <v>82</v>
      </c>
      <c r="F16" s="2">
        <f t="shared" si="1"/>
        <v>85</v>
      </c>
      <c r="G16" s="2">
        <f t="shared" si="2"/>
        <v>3</v>
      </c>
      <c r="H16" s="2">
        <f t="shared" si="5"/>
        <v>3</v>
      </c>
      <c r="I16" s="2">
        <f t="shared" si="6"/>
        <v>0</v>
      </c>
      <c r="L16" s="27"/>
    </row>
    <row r="17" ht="15.75" customHeight="1">
      <c r="A17" s="2">
        <v>16.0</v>
      </c>
      <c r="B17" s="19">
        <v>1.0</v>
      </c>
      <c r="C17" s="2">
        <f t="shared" si="3"/>
        <v>83</v>
      </c>
      <c r="D17" s="9">
        <v>6.0</v>
      </c>
      <c r="E17" s="2">
        <f t="shared" si="4"/>
        <v>85</v>
      </c>
      <c r="F17" s="2">
        <f t="shared" si="1"/>
        <v>91</v>
      </c>
      <c r="G17" s="2">
        <f t="shared" si="2"/>
        <v>8</v>
      </c>
      <c r="H17" s="2">
        <f t="shared" si="5"/>
        <v>0</v>
      </c>
      <c r="I17" s="2">
        <f t="shared" si="6"/>
        <v>2</v>
      </c>
      <c r="L17" s="29"/>
    </row>
    <row r="18" ht="15.75" customHeight="1">
      <c r="A18" s="2">
        <v>17.0</v>
      </c>
      <c r="B18" s="19">
        <v>7.0</v>
      </c>
      <c r="C18" s="2">
        <f t="shared" si="3"/>
        <v>90</v>
      </c>
      <c r="D18" s="9">
        <v>4.0</v>
      </c>
      <c r="E18" s="2">
        <f t="shared" si="4"/>
        <v>91</v>
      </c>
      <c r="F18" s="2">
        <f t="shared" si="1"/>
        <v>95</v>
      </c>
      <c r="G18" s="2">
        <f t="shared" si="2"/>
        <v>5</v>
      </c>
      <c r="H18" s="2">
        <f t="shared" si="5"/>
        <v>0</v>
      </c>
      <c r="I18" s="2">
        <f t="shared" si="6"/>
        <v>1</v>
      </c>
      <c r="L18" s="27"/>
    </row>
    <row r="19" ht="15.75" customHeight="1">
      <c r="A19" s="2">
        <v>18.0</v>
      </c>
      <c r="B19" s="19">
        <v>5.0</v>
      </c>
      <c r="C19" s="2">
        <f t="shared" si="3"/>
        <v>95</v>
      </c>
      <c r="D19" s="9">
        <v>1.0</v>
      </c>
      <c r="E19" s="2">
        <f t="shared" si="4"/>
        <v>95</v>
      </c>
      <c r="F19" s="2">
        <f t="shared" si="1"/>
        <v>96</v>
      </c>
      <c r="G19" s="2">
        <f t="shared" si="2"/>
        <v>1</v>
      </c>
      <c r="H19" s="2">
        <f t="shared" si="5"/>
        <v>0</v>
      </c>
      <c r="I19" s="2">
        <f t="shared" si="6"/>
        <v>0</v>
      </c>
      <c r="L19" s="27"/>
    </row>
    <row r="20" ht="15.75" customHeight="1">
      <c r="A20" s="2">
        <v>19.0</v>
      </c>
      <c r="B20" s="19">
        <v>9.0</v>
      </c>
      <c r="C20" s="2">
        <f t="shared" si="3"/>
        <v>104</v>
      </c>
      <c r="D20" s="9">
        <v>5.0</v>
      </c>
      <c r="E20" s="2">
        <f t="shared" si="4"/>
        <v>104</v>
      </c>
      <c r="F20" s="2">
        <f t="shared" si="1"/>
        <v>109</v>
      </c>
      <c r="G20" s="2">
        <f t="shared" si="2"/>
        <v>5</v>
      </c>
      <c r="H20" s="2">
        <f t="shared" si="5"/>
        <v>8</v>
      </c>
      <c r="I20" s="2">
        <f t="shared" si="6"/>
        <v>0</v>
      </c>
      <c r="L20" s="29"/>
    </row>
    <row r="21" ht="15.75" customHeight="1">
      <c r="A21" s="2">
        <v>20.0</v>
      </c>
      <c r="B21" s="19">
        <v>2.0</v>
      </c>
      <c r="C21" s="2">
        <f t="shared" si="3"/>
        <v>106</v>
      </c>
      <c r="D21" s="9">
        <v>3.0</v>
      </c>
      <c r="E21" s="2">
        <f t="shared" si="4"/>
        <v>109</v>
      </c>
      <c r="F21" s="2">
        <f t="shared" si="1"/>
        <v>112</v>
      </c>
      <c r="G21" s="2">
        <f t="shared" si="2"/>
        <v>6</v>
      </c>
      <c r="H21" s="2">
        <f t="shared" si="5"/>
        <v>0</v>
      </c>
      <c r="I21" s="2">
        <f t="shared" si="6"/>
        <v>3</v>
      </c>
    </row>
    <row r="22" ht="15.75" customHeight="1">
      <c r="A22" s="31"/>
      <c r="B22" s="2"/>
      <c r="C22" s="2"/>
      <c r="D22" s="2"/>
      <c r="E22" s="2"/>
      <c r="F22" s="31" t="s">
        <v>16</v>
      </c>
      <c r="G22" s="31">
        <f t="shared" ref="G22:I22" si="7">SUM(G2:G21)</f>
        <v>92</v>
      </c>
      <c r="H22" s="31">
        <f t="shared" si="7"/>
        <v>38</v>
      </c>
      <c r="I22" s="31">
        <f t="shared" si="7"/>
        <v>18</v>
      </c>
      <c r="L22" s="10"/>
      <c r="M22" s="10"/>
      <c r="N22" s="10"/>
      <c r="O22" s="10"/>
    </row>
    <row r="23" ht="15.75" customHeight="1">
      <c r="L23" s="25"/>
      <c r="M23" s="25"/>
      <c r="N23" s="25"/>
      <c r="O23" s="25"/>
    </row>
    <row r="24" ht="15.75" customHeight="1">
      <c r="L24" s="10"/>
      <c r="M24" s="10"/>
      <c r="N24" s="10"/>
      <c r="O24" s="10"/>
    </row>
    <row r="25" ht="15.75" customHeight="1">
      <c r="L25" s="10"/>
      <c r="M25" s="10"/>
      <c r="N25" s="10"/>
      <c r="O25" s="10"/>
    </row>
    <row r="26" ht="15.75" customHeight="1">
      <c r="L26" s="13"/>
      <c r="M26" s="13"/>
      <c r="N26" s="13"/>
      <c r="O26" s="13"/>
    </row>
    <row r="27" ht="15.75" customHeight="1"/>
    <row r="28" ht="15.75" customHeight="1"/>
    <row r="29" ht="15.75" customHeight="1">
      <c r="D29" s="20"/>
      <c r="E29" s="20"/>
      <c r="G29" s="20"/>
      <c r="H29" s="20"/>
    </row>
    <row r="30" ht="15.75" customHeight="1">
      <c r="D30" s="26"/>
      <c r="E30" s="26"/>
      <c r="G30" s="26"/>
      <c r="H30" s="26"/>
    </row>
    <row r="31" ht="15.75" customHeight="1">
      <c r="D31" s="26"/>
      <c r="E31" s="26"/>
      <c r="G31" s="26"/>
      <c r="H31" s="26"/>
    </row>
    <row r="32" ht="15.75" customHeight="1">
      <c r="D32" s="26"/>
      <c r="E32" s="26"/>
      <c r="G32" s="26"/>
      <c r="H32" s="26"/>
    </row>
    <row r="33" ht="15.75" customHeight="1">
      <c r="D33" s="26"/>
      <c r="E33" s="26"/>
      <c r="G33" s="26"/>
      <c r="H33" s="26"/>
    </row>
    <row r="34" ht="15.75" customHeight="1">
      <c r="D34" s="26"/>
      <c r="E34" s="26"/>
      <c r="G34" s="26"/>
      <c r="H34" s="26"/>
    </row>
    <row r="35" ht="15.75" customHeight="1">
      <c r="D35" s="26"/>
      <c r="E35" s="26"/>
      <c r="G35" s="26"/>
      <c r="H35" s="26"/>
    </row>
    <row r="36" ht="15.75" customHeight="1">
      <c r="D36" s="26"/>
      <c r="E36" s="26"/>
      <c r="G36" s="26"/>
      <c r="H36" s="26"/>
    </row>
    <row r="37" ht="15.75" customHeight="1">
      <c r="D37" s="26"/>
      <c r="E37" s="26"/>
      <c r="G37" s="26"/>
      <c r="H37" s="26"/>
    </row>
    <row r="38" ht="15.75" customHeight="1">
      <c r="C38" s="20"/>
      <c r="D38" s="26"/>
      <c r="E38" s="26"/>
      <c r="F38" s="20"/>
      <c r="G38" s="26"/>
      <c r="H38" s="26"/>
    </row>
    <row r="39" ht="15.75" customHeight="1">
      <c r="C39" s="26"/>
      <c r="D39" s="26"/>
      <c r="E39" s="26"/>
      <c r="F39" s="26"/>
      <c r="G39" s="26"/>
      <c r="H39" s="26"/>
    </row>
    <row r="40" ht="15.75" customHeight="1">
      <c r="C40" s="26"/>
      <c r="D40" s="26"/>
      <c r="E40" s="26"/>
      <c r="F40" s="26"/>
      <c r="G40" s="26"/>
      <c r="H40" s="26"/>
    </row>
    <row r="41" ht="15.75" customHeight="1">
      <c r="C41" s="26"/>
      <c r="D41" s="26"/>
      <c r="E41" s="26"/>
      <c r="F41" s="26"/>
      <c r="G41" s="26"/>
      <c r="H41" s="26"/>
    </row>
    <row r="42" ht="15.75" customHeight="1">
      <c r="C42" s="26"/>
      <c r="D42" s="26"/>
      <c r="E42" s="26"/>
      <c r="F42" s="26"/>
      <c r="G42" s="26"/>
      <c r="H42" s="26"/>
    </row>
    <row r="43" ht="15.75" customHeight="1">
      <c r="C43" s="26"/>
      <c r="D43" s="26"/>
      <c r="E43" s="26"/>
      <c r="F43" s="26"/>
      <c r="G43" s="26"/>
      <c r="H43" s="26"/>
    </row>
    <row r="44" ht="15.75" customHeight="1">
      <c r="C44" s="26"/>
      <c r="D44" s="26"/>
      <c r="E44" s="26"/>
      <c r="F44" s="26"/>
      <c r="G44" s="26"/>
      <c r="H44" s="26"/>
    </row>
    <row r="45" ht="15.75" customHeight="1">
      <c r="C45" s="26"/>
      <c r="D45" s="26"/>
      <c r="E45" s="26"/>
      <c r="F45" s="26"/>
      <c r="G45" s="26"/>
      <c r="H45" s="26"/>
    </row>
    <row r="46" ht="15.75" customHeight="1">
      <c r="C46" s="26"/>
      <c r="D46" s="26"/>
      <c r="E46" s="26"/>
      <c r="F46" s="26"/>
      <c r="G46" s="26"/>
      <c r="H46" s="26"/>
    </row>
    <row r="47" ht="15.75" customHeight="1">
      <c r="C47" s="26"/>
      <c r="D47" s="26"/>
      <c r="E47" s="26"/>
      <c r="F47" s="26"/>
      <c r="G47" s="26"/>
      <c r="H47" s="26"/>
    </row>
    <row r="48" ht="15.75" customHeight="1">
      <c r="C48" s="26"/>
      <c r="D48" s="26"/>
      <c r="E48" s="26"/>
      <c r="F48" s="26"/>
      <c r="G48" s="26"/>
      <c r="H48" s="26"/>
    </row>
    <row r="49" ht="15.75" customHeight="1">
      <c r="C49" s="26"/>
      <c r="D49" s="26"/>
      <c r="E49" s="26"/>
      <c r="F49" s="26"/>
      <c r="G49" s="26"/>
      <c r="H49" s="26"/>
    </row>
    <row r="50" ht="15.75" customHeight="1">
      <c r="C50" s="26"/>
      <c r="D50" s="26"/>
      <c r="E50" s="26"/>
      <c r="F50" s="26"/>
      <c r="G50" s="26"/>
    </row>
    <row r="51" ht="15.75" customHeight="1">
      <c r="C51" s="26"/>
      <c r="D51" s="26"/>
      <c r="E51" s="26"/>
      <c r="F51" s="26"/>
      <c r="G51" s="26"/>
    </row>
    <row r="52" ht="15.75" customHeight="1">
      <c r="C52" s="26"/>
      <c r="D52" s="26"/>
      <c r="E52" s="26"/>
      <c r="F52" s="26"/>
      <c r="G52" s="26"/>
    </row>
    <row r="53" ht="15.75" customHeight="1">
      <c r="C53" s="26"/>
      <c r="D53" s="26"/>
      <c r="E53" s="26"/>
      <c r="F53" s="26"/>
      <c r="G53" s="26"/>
    </row>
    <row r="54" ht="15.75" customHeight="1">
      <c r="C54" s="26"/>
      <c r="D54" s="26"/>
      <c r="E54" s="26"/>
      <c r="F54" s="26"/>
      <c r="G54" s="26"/>
    </row>
    <row r="55" ht="15.75" customHeight="1">
      <c r="C55" s="26"/>
      <c r="D55" s="26"/>
      <c r="E55" s="26"/>
      <c r="F55" s="26"/>
      <c r="G55" s="26"/>
    </row>
    <row r="56" ht="15.75" customHeight="1">
      <c r="C56" s="26"/>
      <c r="D56" s="26"/>
      <c r="F56" s="26"/>
      <c r="G56" s="26"/>
    </row>
    <row r="57" ht="15.75" customHeight="1">
      <c r="C57" s="26"/>
      <c r="D57" s="26"/>
      <c r="F57" s="26"/>
      <c r="G57" s="26"/>
    </row>
    <row r="58" ht="15.75" customHeight="1">
      <c r="C58" s="26"/>
      <c r="D58" s="26"/>
      <c r="F58" s="26"/>
      <c r="G58" s="26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5.11"/>
    <col customWidth="1" min="2" max="2" width="12.44"/>
    <col customWidth="1" min="3" max="3" width="13.56"/>
    <col customWidth="1" min="4" max="6" width="11.22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>
        <v>1.0</v>
      </c>
      <c r="B2" s="5">
        <v>5.05</v>
      </c>
      <c r="C2" s="8">
        <v>0.23655913978494625</v>
      </c>
      <c r="D2" s="5">
        <v>1.5</v>
      </c>
      <c r="E2" s="5">
        <v>0.5</v>
      </c>
      <c r="F2" s="12">
        <v>3.0</v>
      </c>
      <c r="H2" s="10"/>
      <c r="I2" s="11"/>
      <c r="J2" s="10"/>
      <c r="K2" s="10"/>
      <c r="L2" s="13"/>
      <c r="M2" s="14"/>
      <c r="N2" s="10"/>
      <c r="O2" s="10"/>
      <c r="P2" s="10"/>
      <c r="Q2" s="10"/>
      <c r="R2" s="10"/>
    </row>
    <row r="3">
      <c r="A3" s="5">
        <v>2.0</v>
      </c>
      <c r="B3" s="5">
        <v>4.3</v>
      </c>
      <c r="C3" s="8">
        <v>0.33962264150943394</v>
      </c>
      <c r="D3" s="5">
        <v>0.8</v>
      </c>
      <c r="E3" s="5">
        <v>0.3</v>
      </c>
      <c r="F3" s="12">
        <v>2.6666666666666665</v>
      </c>
      <c r="H3" s="10"/>
      <c r="I3" s="10"/>
      <c r="J3" s="14"/>
      <c r="K3" s="10"/>
      <c r="L3" s="14"/>
      <c r="M3" s="10"/>
      <c r="N3" s="10"/>
      <c r="O3" s="10"/>
      <c r="P3" s="10"/>
      <c r="Q3" s="10"/>
    </row>
    <row r="4">
      <c r="A4" s="5">
        <v>3.0</v>
      </c>
      <c r="B4" s="16">
        <v>4.1</v>
      </c>
      <c r="C4" s="18">
        <v>0.375</v>
      </c>
      <c r="D4" s="16">
        <v>0.6</v>
      </c>
      <c r="E4" s="16">
        <v>0.25</v>
      </c>
      <c r="F4" s="21">
        <v>2.4</v>
      </c>
      <c r="H4" s="10"/>
      <c r="I4" s="11"/>
      <c r="J4" s="10"/>
      <c r="K4" s="10"/>
      <c r="L4" s="13"/>
    </row>
    <row r="5">
      <c r="A5" s="5">
        <v>4.0</v>
      </c>
      <c r="B5" s="5">
        <v>4.05</v>
      </c>
      <c r="C5" s="8">
        <v>0.3486238532110092</v>
      </c>
      <c r="D5" s="5">
        <v>0.5</v>
      </c>
      <c r="E5" s="5">
        <v>0.25</v>
      </c>
      <c r="F5" s="12">
        <v>2.0</v>
      </c>
      <c r="H5" s="10"/>
      <c r="I5" s="11"/>
      <c r="J5" s="10"/>
      <c r="K5" s="10"/>
      <c r="L5" s="13"/>
    </row>
    <row r="6">
      <c r="A6" s="5">
        <v>5.0</v>
      </c>
      <c r="B6" s="16">
        <v>4.25</v>
      </c>
      <c r="C6" s="18">
        <v>0.3425925925925926</v>
      </c>
      <c r="D6" s="16">
        <v>0.7</v>
      </c>
      <c r="E6" s="16">
        <v>0.35</v>
      </c>
      <c r="F6" s="12">
        <v>2.0</v>
      </c>
      <c r="H6" s="10"/>
      <c r="I6" s="10"/>
      <c r="J6" s="14"/>
      <c r="K6" s="10"/>
      <c r="L6" s="14"/>
      <c r="M6" s="10"/>
      <c r="N6" s="10"/>
      <c r="O6" s="10"/>
      <c r="P6" s="10"/>
      <c r="Q6" s="10"/>
    </row>
    <row r="7">
      <c r="A7" s="5">
        <v>6.0</v>
      </c>
      <c r="B7" s="5">
        <v>4.35</v>
      </c>
      <c r="C7" s="8">
        <v>0.3394495412844037</v>
      </c>
      <c r="D7" s="5">
        <v>0.75</v>
      </c>
      <c r="E7" s="23">
        <v>0.33</v>
      </c>
      <c r="F7" s="12">
        <v>2.5</v>
      </c>
    </row>
    <row r="8">
      <c r="A8" s="5">
        <v>7.0</v>
      </c>
      <c r="B8" s="5">
        <v>4.55</v>
      </c>
      <c r="C8" s="8">
        <v>0.36363636363636365</v>
      </c>
      <c r="D8" s="5">
        <v>1.05</v>
      </c>
      <c r="E8" s="24">
        <v>0.45</v>
      </c>
      <c r="F8" s="12">
        <v>2.3333333333333335</v>
      </c>
    </row>
    <row r="9">
      <c r="A9" s="5">
        <v>8.0</v>
      </c>
      <c r="B9" s="5">
        <v>4.8</v>
      </c>
      <c r="C9" s="8">
        <v>0.3333333333333333</v>
      </c>
      <c r="D9" s="5">
        <v>1.1</v>
      </c>
      <c r="E9" s="24">
        <v>0.4</v>
      </c>
      <c r="F9" s="12">
        <v>2.75</v>
      </c>
    </row>
    <row r="10">
      <c r="A10" s="5">
        <v>9.0</v>
      </c>
      <c r="B10" s="5">
        <v>4.75</v>
      </c>
      <c r="C10" s="8">
        <v>0.33035714285714285</v>
      </c>
      <c r="D10" s="5">
        <v>1.0</v>
      </c>
      <c r="E10" s="24">
        <v>0.4</v>
      </c>
      <c r="F10" s="12">
        <v>2.5</v>
      </c>
    </row>
    <row r="11">
      <c r="A11" s="5">
        <v>10.0</v>
      </c>
      <c r="B11" s="5">
        <v>4.55</v>
      </c>
      <c r="C11" s="8">
        <v>0.3392857142857143</v>
      </c>
      <c r="D11" s="5">
        <v>0.85</v>
      </c>
      <c r="E11" s="24">
        <v>0.35</v>
      </c>
      <c r="F11" s="12">
        <v>2.4285714285714284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